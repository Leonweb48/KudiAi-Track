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Settings" sheetId="3" state="visible" r:id="rId5"/>
    <sheet name="Data Plans" sheetId="4" state="visible" r:id="rId6"/>
    <sheet name="Print Data" sheetId="5" state="visible" r:id="rId7"/>
    <sheet name="Airtime Print" sheetId="6" state="visible" r:id="rId8"/>
  </sheets>
  <definedNames>
    <definedName function="false" hidden="true" localSheetId="5" name="_xlnm._FilterDatabase" vbProcedure="false">'Airtime Print'!$A$4:$K$24</definedName>
    <definedName function="false" hidden="true" localSheetId="3" name="_xlnm._FilterDatabase" vbProcedure="false">'Data Plans'!$A$4:$N$140</definedName>
    <definedName function="false" hidden="true" localSheetId="4" name="_xlnm._FilterDatabase" vbProcedure="false">'Print Data'!$A$4:$L$140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Selling price in the app today, from src/data/billPrices.js. Blank = no fixed price in the app for this plan.</t>
        </r>
      </text>
    </comment>
    <comment ref="I5" authorId="0">
      <text>
        <r>
          <rPr>
            <sz val="10"/>
            <rFont val="Arial"/>
            <family val="2"/>
          </rPr>
          <t xml:space="preserve">Example sale price. Replace with your own or delete.</t>
        </r>
      </text>
    </comment>
    <comment ref="M4" authorId="0">
      <text>
        <r>
          <rPr>
            <sz val="10"/>
            <rFont val="Arial"/>
            <family val="2"/>
          </rPr>
          <t xml:space="preserve">Cost × (1 + markup on Settings!B4), rounded up to the next ₦5, and never above the network price.</t>
        </r>
      </text>
    </comment>
  </commentList>
</comments>
</file>

<file path=xl/sharedStrings.xml><?xml version="1.0" encoding="utf-8"?>
<sst xmlns="http://schemas.openxmlformats.org/spreadsheetml/2006/main" count="1480" uniqueCount="323">
  <si>
    <t xml:space="preserve">KudiTrack AI: ClubKonnect price list</t>
  </si>
  <si>
    <t xml:space="preserve">Snapshot taken 25 Sep 2026, 21:43 WAT</t>
  </si>
  <si>
    <t xml:space="preserve">Source</t>
  </si>
  <si>
    <t xml:space="preserve">Live from ClubKonnect via KudiTrack's clubkonnect edge function (GitHub Actions run 36193015699). Data-plan costs come from ClubKonnect's APIDatabundlePlansV2; airtime and print-airtime discounts from APIAirtimeDiscountV1 / APIEPINDiscountV2, all read with KudiTrack's own ClubKonnect account.</t>
  </si>
  <si>
    <t xml:space="preserve">What 'ClubKonnect cost' means</t>
  </si>
  <si>
    <t xml:space="preserve">What ClubKonnect charges your wallet for one unit. Your profit on a sale is your sale price minus this cost.</t>
  </si>
  <si>
    <t xml:space="preserve">How to use</t>
  </si>
  <si>
    <t xml:space="preserve">Type your price in the YELLOW column on each sheet. Profit, margin and a LOSS warning update automatically. Leave a yellow cell blank if you have not decided yet.</t>
  </si>
  <si>
    <t xml:space="preserve">Example row</t>
  </si>
  <si>
    <t xml:space="preserve">Row 5 of 'Data Plans' (MTN 500 MB weekly SME) has an example sale price of ₦350 filled in so you can see the format. Change or delete it.</t>
  </si>
  <si>
    <t xml:space="preserve">Suggested price</t>
  </si>
  <si>
    <t xml:space="preserve">Each sheet has a 'Suggested price' column = cost × (1 + markup). Set the markup on the 'Settings' sheet. It is capped at the network's own price (face value for airtime PINs), since customers won't pay more than that.</t>
  </si>
  <si>
    <t xml:space="preserve">Current KudiTrack price</t>
  </si>
  <si>
    <t xml:space="preserve">Data: what the app shows today (from src/data/billPrices.js). Print airtime: cost + the Enterprise fee on 'Settings' (the app rounds up to the next naira). Blank means the app has no fixed price for that plan.</t>
  </si>
  <si>
    <t xml:space="preserve">Print Data</t>
  </si>
  <si>
    <t xml:space="preserve">The app loads print-data plans from the same ClubKonnect plan list as direct data and charges the same unit price, so the cost column is the same list. Confirm data-PIN pricing on your ClubKonnect dashboard if in doubt.</t>
  </si>
  <si>
    <t xml:space="preserve">Network price</t>
  </si>
  <si>
    <t xml:space="preserve">For Awoof and Direct plans, ClubKonnect's plan ID carries the network's official price (e.g. 800.01 = ₦800). SME plan IDs are sizes, so this is blank for SME.</t>
  </si>
  <si>
    <t xml:space="preserve">Refreshing</t>
  </si>
  <si>
    <t xml:space="preserve">Prices change. Re-run the 'ClubKonnect price snapshot' GitHub Action (.github/workflows/ck-price-snapshot.yml) and ask for the sheet to be rebuilt.</t>
  </si>
  <si>
    <t xml:space="preserve">Colour key</t>
  </si>
  <si>
    <t xml:space="preserve">Yellow fill = you type here · Blue text = numbers taken from ClubKonnect · Black = formulas · Green text = linked from the Settings sheet · Red 'LOSS' = your price is below cost.</t>
  </si>
  <si>
    <t xml:space="preserve">Summary by network</t>
  </si>
  <si>
    <t xml:space="preserve">Counts and averages update as you fill in sale prices</t>
  </si>
  <si>
    <t xml:space="preserve">Network</t>
  </si>
  <si>
    <t xml:space="preserve">Data plans</t>
  </si>
  <si>
    <t xml:space="preserve">Cheapest data cost (₦)</t>
  </si>
  <si>
    <t xml:space="preserve">Priced by you</t>
  </si>
  <si>
    <t xml:space="preserve">Selling at a loss</t>
  </si>
  <si>
    <t xml:space="preserve">Avg data margin</t>
  </si>
  <si>
    <t xml:space="preserve">Print airtime priced</t>
  </si>
  <si>
    <t xml:space="preserve">Avg print airtime margin</t>
  </si>
  <si>
    <t xml:space="preserve">MTN</t>
  </si>
  <si>
    <t xml:space="preserve">Glo</t>
  </si>
  <si>
    <t xml:space="preserve">Airtel</t>
  </si>
  <si>
    <t xml:space="preserve">9mobile</t>
  </si>
  <si>
    <t xml:space="preserve">Total</t>
  </si>
  <si>
    <t xml:space="preserve">Settings and ClubKonnect discounts</t>
  </si>
  <si>
    <t xml:space="preserve">Discounts read live 25 Sep 2026, 21:43 WAT</t>
  </si>
  <si>
    <t xml:space="preserve">Markup for 'Suggested price'</t>
  </si>
  <si>
    <t xml:space="preserve">Your choice. 5% is a starting point.</t>
  </si>
  <si>
    <t xml:space="preserve">Enterprise bill fee (print airtime)</t>
  </si>
  <si>
    <t xml:space="preserve">Default of platform_config.enterprise_bill_fee_pct (0.01). Change it if you set a different value in the admin portal.</t>
  </si>
  <si>
    <t xml:space="preserve">Airtime (VTU) discount</t>
  </si>
  <si>
    <t xml:space="preserve">Print airtime (EPIN) discount</t>
  </si>
  <si>
    <t xml:space="preserve">VTU min (₦)</t>
  </si>
  <si>
    <t xml:space="preserve">VTU max (₦)</t>
  </si>
  <si>
    <t xml:space="preserve">Cost of ₦1,000 airtime (VTU)</t>
  </si>
  <si>
    <t xml:space="preserve">Source: ClubKonnect APIAirtimeDiscountV1 and APIEPINDiscountV2, read 25 Sep 2026, 21:43 WAT.</t>
  </si>
  <si>
    <t xml:space="preserve">Data plans: ClubKonnect cost and your sale price</t>
  </si>
  <si>
    <t xml:space="preserve">136 plans across 4 networks · 25 Sep 2026, 21:43 WAT</t>
  </si>
  <si>
    <t xml:space="preserve">Type</t>
  </si>
  <si>
    <t xml:space="preserve">Plan</t>
  </si>
  <si>
    <t xml:space="preserve">Validity</t>
  </si>
  <si>
    <t xml:space="preserve">CK plan ID</t>
  </si>
  <si>
    <t xml:space="preserve">Network price (₦)</t>
  </si>
  <si>
    <t xml:space="preserve">ClubKonnect cost (₦)</t>
  </si>
  <si>
    <t xml:space="preserve">Current KudiTrack price (₦)</t>
  </si>
  <si>
    <t xml:space="preserve">YOUR SALE PRICE (₦)</t>
  </si>
  <si>
    <t xml:space="preserve">Profit per sale (₦)</t>
  </si>
  <si>
    <t xml:space="preserve">Margin</t>
  </si>
  <si>
    <t xml:space="preserve">Status</t>
  </si>
  <si>
    <t xml:space="preserve">Suggested price (₦)</t>
  </si>
  <si>
    <t xml:space="preserve">CK discount vs network price</t>
  </si>
  <si>
    <t xml:space="preserve">SME</t>
  </si>
  <si>
    <t xml:space="preserve">500 MB - Weekly</t>
  </si>
  <si>
    <t xml:space="preserve">7 days</t>
  </si>
  <si>
    <t xml:space="preserve">500</t>
  </si>
  <si>
    <t xml:space="preserve">500 MB - Monthly</t>
  </si>
  <si>
    <t xml:space="preserve">30 days</t>
  </si>
  <si>
    <t xml:space="preserve">500.00</t>
  </si>
  <si>
    <t xml:space="preserve">1 GB - Weekly</t>
  </si>
  <si>
    <t xml:space="preserve">1000</t>
  </si>
  <si>
    <t xml:space="preserve">1 GB - Monthly</t>
  </si>
  <si>
    <t xml:space="preserve">1000.00</t>
  </si>
  <si>
    <t xml:space="preserve">2 GB - Weekly</t>
  </si>
  <si>
    <t xml:space="preserve">2000</t>
  </si>
  <si>
    <t xml:space="preserve">2 GB - Monthly</t>
  </si>
  <si>
    <t xml:space="preserve">2000.00</t>
  </si>
  <si>
    <t xml:space="preserve">3 GB - Weekly</t>
  </si>
  <si>
    <t xml:space="preserve">3000</t>
  </si>
  <si>
    <t xml:space="preserve">3 GB - Monthly</t>
  </si>
  <si>
    <t xml:space="preserve">3000.00</t>
  </si>
  <si>
    <t xml:space="preserve">5 GB - Monthly</t>
  </si>
  <si>
    <t xml:space="preserve">5000.00</t>
  </si>
  <si>
    <t xml:space="preserve">Awoof</t>
  </si>
  <si>
    <t xml:space="preserve">110MB Daily Plan - 1 day</t>
  </si>
  <si>
    <t xml:space="preserve">1 day</t>
  </si>
  <si>
    <t xml:space="preserve">100.01</t>
  </si>
  <si>
    <t xml:space="preserve">230MB Daily Plan - 1 day</t>
  </si>
  <si>
    <t xml:space="preserve">200.01</t>
  </si>
  <si>
    <t xml:space="preserve">500MB Daily Plan - 1 day</t>
  </si>
  <si>
    <t xml:space="preserve">350.01</t>
  </si>
  <si>
    <t xml:space="preserve">1GB Daily Plan + 1.5mins. - 1 day</t>
  </si>
  <si>
    <t xml:space="preserve">500.01</t>
  </si>
  <si>
    <t xml:space="preserve">2.5GB Daily Plan - 1 day</t>
  </si>
  <si>
    <t xml:space="preserve">750.01</t>
  </si>
  <si>
    <t xml:space="preserve">2.5GB 2-Day Plan - 2 days</t>
  </si>
  <si>
    <t xml:space="preserve">2 days</t>
  </si>
  <si>
    <t xml:space="preserve">900.01</t>
  </si>
  <si>
    <t xml:space="preserve">3.2GB 2-Day Plan - 2 days</t>
  </si>
  <si>
    <t xml:space="preserve">1000.01</t>
  </si>
  <si>
    <t xml:space="preserve">Direct</t>
  </si>
  <si>
    <t xml:space="preserve">500MB Weekly Plan - 7 days</t>
  </si>
  <si>
    <t xml:space="preserve">500.02</t>
  </si>
  <si>
    <t xml:space="preserve">1GB Weekly Plan - 7 days</t>
  </si>
  <si>
    <t xml:space="preserve">800.01</t>
  </si>
  <si>
    <t xml:space="preserve">1.5GB Weekly Plan - 7 days</t>
  </si>
  <si>
    <t xml:space="preserve">1000.03</t>
  </si>
  <si>
    <t xml:space="preserve">3.5GB Weekly Plan - 7 days</t>
  </si>
  <si>
    <t xml:space="preserve">1500.03</t>
  </si>
  <si>
    <t xml:space="preserve">6GB Weekly Plan - 7 days</t>
  </si>
  <si>
    <t xml:space="preserve">2500.01</t>
  </si>
  <si>
    <t xml:space="preserve">11GB Weekly Bundle - 7 days</t>
  </si>
  <si>
    <t xml:space="preserve">3500.01</t>
  </si>
  <si>
    <t xml:space="preserve">2GB+2mins Monthly Plan - 30 days</t>
  </si>
  <si>
    <t xml:space="preserve">1500.02</t>
  </si>
  <si>
    <t xml:space="preserve">2.7GB+2mins Monthly Plan - 30 days</t>
  </si>
  <si>
    <t xml:space="preserve">2000.01</t>
  </si>
  <si>
    <t xml:space="preserve">3.5GB+5mins Monthly Plan - 30 days</t>
  </si>
  <si>
    <t xml:space="preserve">2500.02</t>
  </si>
  <si>
    <t xml:space="preserve">7GB Monthly Plan - 30 days</t>
  </si>
  <si>
    <t xml:space="preserve">3500.02</t>
  </si>
  <si>
    <t xml:space="preserve">10GB+10mins Monthly Plan - 30 days</t>
  </si>
  <si>
    <t xml:space="preserve">4500.01</t>
  </si>
  <si>
    <t xml:space="preserve">12.5GB Monthly Plan - 30 days</t>
  </si>
  <si>
    <t xml:space="preserve">5500.01</t>
  </si>
  <si>
    <t xml:space="preserve">16.5GB+10mins Monthly Plan - 30 days</t>
  </si>
  <si>
    <t xml:space="preserve">6500.01</t>
  </si>
  <si>
    <t xml:space="preserve">20GB Monthly Plan - 30 days</t>
  </si>
  <si>
    <t xml:space="preserve">7500.01</t>
  </si>
  <si>
    <t xml:space="preserve">25GB Monthly Plan - 30 days</t>
  </si>
  <si>
    <t xml:space="preserve">9000.01</t>
  </si>
  <si>
    <t xml:space="preserve">36GB Monthly Plan - 30 days</t>
  </si>
  <si>
    <t xml:space="preserve">11000.01</t>
  </si>
  <si>
    <t xml:space="preserve">75GB Monthly Plan - 30 days</t>
  </si>
  <si>
    <t xml:space="preserve">18000.01</t>
  </si>
  <si>
    <t xml:space="preserve">165GB Monthly Plan - 30 days</t>
  </si>
  <si>
    <t xml:space="preserve">35000.01</t>
  </si>
  <si>
    <t xml:space="preserve">150GB 2-Month Plan - 60 days</t>
  </si>
  <si>
    <t xml:space="preserve">60 days</t>
  </si>
  <si>
    <t xml:space="preserve">40000.01</t>
  </si>
  <si>
    <t xml:space="preserve">20GB Weekly Plan - 7 days</t>
  </si>
  <si>
    <t xml:space="preserve">5000.01</t>
  </si>
  <si>
    <t xml:space="preserve">480GB 3-Month Plan - 90 days</t>
  </si>
  <si>
    <t xml:space="preserve">90 days</t>
  </si>
  <si>
    <t xml:space="preserve">90000.03</t>
  </si>
  <si>
    <t xml:space="preserve">200 MB - 14 days</t>
  </si>
  <si>
    <t xml:space="preserve">14 days</t>
  </si>
  <si>
    <t xml:space="preserve">200</t>
  </si>
  <si>
    <t xml:space="preserve">500 MB - 7 days</t>
  </si>
  <si>
    <t xml:space="preserve">1 GB - 3 days</t>
  </si>
  <si>
    <t xml:space="preserve">3 days</t>
  </si>
  <si>
    <t xml:space="preserve">1000.11</t>
  </si>
  <si>
    <t xml:space="preserve">3 GB - 3 days</t>
  </si>
  <si>
    <t xml:space="preserve">3000.11</t>
  </si>
  <si>
    <t xml:space="preserve">5 GB - 3 days</t>
  </si>
  <si>
    <t xml:space="preserve">5000.11</t>
  </si>
  <si>
    <t xml:space="preserve">1 GB - 7 days</t>
  </si>
  <si>
    <t xml:space="preserve">1000.12</t>
  </si>
  <si>
    <t xml:space="preserve">3 GB - 7 days</t>
  </si>
  <si>
    <t xml:space="preserve">3000.12</t>
  </si>
  <si>
    <t xml:space="preserve">5 GB - 7 days</t>
  </si>
  <si>
    <t xml:space="preserve">5000.12</t>
  </si>
  <si>
    <t xml:space="preserve">1 GB - 14 days Night Plan</t>
  </si>
  <si>
    <t xml:space="preserve">14 days (night)</t>
  </si>
  <si>
    <t xml:space="preserve">1000.21</t>
  </si>
  <si>
    <t xml:space="preserve">3 GB - 14 days Night Plan</t>
  </si>
  <si>
    <t xml:space="preserve">3000.21</t>
  </si>
  <si>
    <t xml:space="preserve">5 GB - 14 days Night Plan</t>
  </si>
  <si>
    <t xml:space="preserve">5000.21</t>
  </si>
  <si>
    <t xml:space="preserve">10 GB - 14 days Night Plan</t>
  </si>
  <si>
    <t xml:space="preserve">10000.21</t>
  </si>
  <si>
    <t xml:space="preserve">1 GB - 30 days</t>
  </si>
  <si>
    <t xml:space="preserve">2 GB - 30 days</t>
  </si>
  <si>
    <t xml:space="preserve">3 GB - 30 days</t>
  </si>
  <si>
    <t xml:space="preserve">5 GB - 30 days</t>
  </si>
  <si>
    <t xml:space="preserve">5000</t>
  </si>
  <si>
    <t xml:space="preserve">10 GB - 30 days</t>
  </si>
  <si>
    <t xml:space="preserve">10000</t>
  </si>
  <si>
    <t xml:space="preserve">125MB - 1 day</t>
  </si>
  <si>
    <t xml:space="preserve">260MB - 2 day</t>
  </si>
  <si>
    <t xml:space="preserve">1.5GB - 14 days</t>
  </si>
  <si>
    <t xml:space="preserve">2.6GB - 30 days</t>
  </si>
  <si>
    <t xml:space="preserve">5GB - 30 days</t>
  </si>
  <si>
    <t xml:space="preserve">1500.01</t>
  </si>
  <si>
    <t xml:space="preserve">6.15GB - 30 days</t>
  </si>
  <si>
    <t xml:space="preserve">7.5GB - 30 days</t>
  </si>
  <si>
    <t xml:space="preserve">10GB - 30 days</t>
  </si>
  <si>
    <t xml:space="preserve">3000.01</t>
  </si>
  <si>
    <t xml:space="preserve">12.5GB - 30 days</t>
  </si>
  <si>
    <t xml:space="preserve">4000.01</t>
  </si>
  <si>
    <t xml:space="preserve">16GB - 30 days</t>
  </si>
  <si>
    <t xml:space="preserve">28GB - 30 days</t>
  </si>
  <si>
    <t xml:space="preserve">8000.01</t>
  </si>
  <si>
    <t xml:space="preserve">38GB - 30 days</t>
  </si>
  <si>
    <t xml:space="preserve">10000.01</t>
  </si>
  <si>
    <t xml:space="preserve">64GB - 30 days</t>
  </si>
  <si>
    <t xml:space="preserve">15000.01</t>
  </si>
  <si>
    <t xml:space="preserve">107GB - 30 days</t>
  </si>
  <si>
    <t xml:space="preserve">20000.01</t>
  </si>
  <si>
    <t xml:space="preserve">2GB - 1 day</t>
  </si>
  <si>
    <t xml:space="preserve">6GB - 7 days</t>
  </si>
  <si>
    <t xml:space="preserve">2.5GB - Weekend Plan - [Sat &amp; Sun]</t>
  </si>
  <si>
    <t xml:space="preserve">Weekend</t>
  </si>
  <si>
    <t xml:space="preserve">500.03</t>
  </si>
  <si>
    <t xml:space="preserve">875MB - Weekend Plan [Sun]</t>
  </si>
  <si>
    <t xml:space="preserve">200.02</t>
  </si>
  <si>
    <t xml:space="preserve">165GB - 30 days</t>
  </si>
  <si>
    <t xml:space="preserve">30000.01</t>
  </si>
  <si>
    <t xml:space="preserve">220GB - 30 days</t>
  </si>
  <si>
    <t xml:space="preserve">36000.01</t>
  </si>
  <si>
    <t xml:space="preserve">320GB - 30 days</t>
  </si>
  <si>
    <t xml:space="preserve">50000.01</t>
  </si>
  <si>
    <t xml:space="preserve">380GB - 30 days</t>
  </si>
  <si>
    <t xml:space="preserve">60000.01</t>
  </si>
  <si>
    <t xml:space="preserve">475GB - 30 days</t>
  </si>
  <si>
    <t xml:space="preserve">75000.01</t>
  </si>
  <si>
    <t xml:space="preserve">1TB (1000GB) - 365 days</t>
  </si>
  <si>
    <t xml:space="preserve">365 days</t>
  </si>
  <si>
    <t xml:space="preserve">150000.03</t>
  </si>
  <si>
    <t xml:space="preserve">1GB - 1 day</t>
  </si>
  <si>
    <t xml:space="preserve">499.91</t>
  </si>
  <si>
    <t xml:space="preserve">1.5GB - 2 days</t>
  </si>
  <si>
    <t xml:space="preserve">599.91</t>
  </si>
  <si>
    <t xml:space="preserve">2GB - 2 days</t>
  </si>
  <si>
    <t xml:space="preserve">749.91</t>
  </si>
  <si>
    <t xml:space="preserve">3GB - 2 days</t>
  </si>
  <si>
    <t xml:space="preserve">999.91</t>
  </si>
  <si>
    <t xml:space="preserve">5GB - 2 days</t>
  </si>
  <si>
    <t xml:space="preserve">1499.91</t>
  </si>
  <si>
    <t xml:space="preserve">500MB - 7 days</t>
  </si>
  <si>
    <t xml:space="preserve">499.92</t>
  </si>
  <si>
    <t xml:space="preserve">1GB - 7 days</t>
  </si>
  <si>
    <t xml:space="preserve">799.91</t>
  </si>
  <si>
    <t xml:space="preserve">1.5GB - 7 days</t>
  </si>
  <si>
    <t xml:space="preserve">999.92</t>
  </si>
  <si>
    <t xml:space="preserve">3.5GB - 7 days</t>
  </si>
  <si>
    <t xml:space="preserve">1499.92</t>
  </si>
  <si>
    <t xml:space="preserve">2499.91</t>
  </si>
  <si>
    <t xml:space="preserve">10GB - 7 days</t>
  </si>
  <si>
    <t xml:space="preserve">2999.91</t>
  </si>
  <si>
    <t xml:space="preserve">18GB - 7 days</t>
  </si>
  <si>
    <t xml:space="preserve">4999.91</t>
  </si>
  <si>
    <t xml:space="preserve">2GB - 30 days</t>
  </si>
  <si>
    <t xml:space="preserve">1499.93</t>
  </si>
  <si>
    <t xml:space="preserve">3GB - 30 days</t>
  </si>
  <si>
    <t xml:space="preserve">1999.91</t>
  </si>
  <si>
    <t xml:space="preserve">4GB - 30 days</t>
  </si>
  <si>
    <t xml:space="preserve">2499.92</t>
  </si>
  <si>
    <t xml:space="preserve">8GB - 30 days</t>
  </si>
  <si>
    <t xml:space="preserve">2999.92</t>
  </si>
  <si>
    <t xml:space="preserve">3999.91</t>
  </si>
  <si>
    <t xml:space="preserve">13GB - 30 days</t>
  </si>
  <si>
    <t xml:space="preserve">4999.92</t>
  </si>
  <si>
    <t xml:space="preserve">18GB - 30 days</t>
  </si>
  <si>
    <t xml:space="preserve">5999.91</t>
  </si>
  <si>
    <t xml:space="preserve">25GB - 30 days</t>
  </si>
  <si>
    <t xml:space="preserve">7999.91</t>
  </si>
  <si>
    <t xml:space="preserve">35GB - 30 days</t>
  </si>
  <si>
    <t xml:space="preserve">9999.91</t>
  </si>
  <si>
    <t xml:space="preserve">60GB - 30 days</t>
  </si>
  <si>
    <t xml:space="preserve">14999.91</t>
  </si>
  <si>
    <t xml:space="preserve">100GB - 30 days</t>
  </si>
  <si>
    <t xml:space="preserve">19999.91</t>
  </si>
  <si>
    <t xml:space="preserve">160GB - 30 days</t>
  </si>
  <si>
    <t xml:space="preserve">29999.91</t>
  </si>
  <si>
    <t xml:space="preserve">210GB - 30 days</t>
  </si>
  <si>
    <t xml:space="preserve">39999.91</t>
  </si>
  <si>
    <t xml:space="preserve">300GB - 90 days</t>
  </si>
  <si>
    <t xml:space="preserve">49999.91</t>
  </si>
  <si>
    <t xml:space="preserve">350GB - 90 days</t>
  </si>
  <si>
    <t xml:space="preserve">59999.91</t>
  </si>
  <si>
    <t xml:space="preserve">50 MB - 30 days</t>
  </si>
  <si>
    <t xml:space="preserve">50</t>
  </si>
  <si>
    <t xml:space="preserve">100 MB - 30 days</t>
  </si>
  <si>
    <t xml:space="preserve">100</t>
  </si>
  <si>
    <t xml:space="preserve">300 MB - 30 days</t>
  </si>
  <si>
    <t xml:space="preserve">300</t>
  </si>
  <si>
    <t xml:space="preserve">500 MB - 30 days</t>
  </si>
  <si>
    <t xml:space="preserve">4 GB - 30 days</t>
  </si>
  <si>
    <t xml:space="preserve">4000</t>
  </si>
  <si>
    <t xml:space="preserve">15 GB - 30 days</t>
  </si>
  <si>
    <t xml:space="preserve">15000</t>
  </si>
  <si>
    <t xml:space="preserve">20 GB - 30 days</t>
  </si>
  <si>
    <t xml:space="preserve">20000</t>
  </si>
  <si>
    <t xml:space="preserve">25 GB - 30 days</t>
  </si>
  <si>
    <t xml:space="preserve">25000</t>
  </si>
  <si>
    <t xml:space="preserve">100MB - 1 day</t>
  </si>
  <si>
    <t xml:space="preserve">180MB - 1 days</t>
  </si>
  <si>
    <t xml:space="preserve">150.01</t>
  </si>
  <si>
    <t xml:space="preserve">250MB - 1 days</t>
  </si>
  <si>
    <t xml:space="preserve">450MB - 1 day</t>
  </si>
  <si>
    <t xml:space="preserve">650MB - 3 days</t>
  </si>
  <si>
    <t xml:space="preserve">1.75GB - 7 days</t>
  </si>
  <si>
    <t xml:space="preserve">650MB - 14 days</t>
  </si>
  <si>
    <t xml:space="preserve">600.01</t>
  </si>
  <si>
    <t xml:space="preserve">1.1GB - 30 days</t>
  </si>
  <si>
    <t xml:space="preserve">1.4GB - 30 days</t>
  </si>
  <si>
    <t xml:space="preserve">1200.01</t>
  </si>
  <si>
    <t xml:space="preserve">2.44GB - 30 days</t>
  </si>
  <si>
    <t xml:space="preserve">3.17GB - 30 days</t>
  </si>
  <si>
    <t xml:space="preserve">3.91GB - 30 days</t>
  </si>
  <si>
    <t xml:space="preserve">5.10GB - 30 days</t>
  </si>
  <si>
    <t xml:space="preserve">6.5GB - 30 days</t>
  </si>
  <si>
    <t xml:space="preserve">12000.01</t>
  </si>
  <si>
    <t xml:space="preserve">24.3GB - 30 days</t>
  </si>
  <si>
    <t xml:space="preserve">18500.01</t>
  </si>
  <si>
    <t xml:space="preserve">26.5GB - 30 days</t>
  </si>
  <si>
    <t xml:space="preserve">39GB - 60 days</t>
  </si>
  <si>
    <t xml:space="preserve">Source: Live from ClubKonnect via KudiTrack's clubkonnect edge function (GitHub Actions run 36193015699), 25 Sep 2026, 21:43 WAT. Costs are per plan, in naira.</t>
  </si>
  <si>
    <t xml:space="preserve">Print data (data PINs): cost per PIN and your sale price</t>
  </si>
  <si>
    <t xml:space="preserve">Same ClubKonnect plan list as direct data · 25 Sep 2026, 21:43 WAT</t>
  </si>
  <si>
    <t xml:space="preserve">ClubKonnect cost per PIN (₦)</t>
  </si>
  <si>
    <t xml:space="preserve">YOUR SALE PRICE PER PIN (₦)</t>
  </si>
  <si>
    <t xml:space="preserve">Profit per PIN (₦)</t>
  </si>
  <si>
    <t xml:space="preserve">Profit per 100 PINs (₦)</t>
  </si>
  <si>
    <t xml:space="preserve">Cost per PIN is linked from 'Data Plans' (green). The app prices print data at the same unit cost as direct data.</t>
  </si>
  <si>
    <t xml:space="preserve">Print airtime (recharge card PINs): cost per PIN and your sale price</t>
  </si>
  <si>
    <t xml:space="preserve">Denominations offered in the app: ₦100, ₦200, ₦300, ₦500, ₦1000 · 25 Sep 2026, 21:43 WAT</t>
  </si>
  <si>
    <t xml:space="preserve">Face value (₦)</t>
  </si>
  <si>
    <t xml:space="preserve">CK print discount</t>
  </si>
  <si>
    <t xml:space="preserve">Discounts are linked from 'Settings' (live ClubKonnect EPIN discounts). Current KudiTrack price = cost + Enterprise fee, rounded up to the next naira, as in BillPayments.jsx.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</si>
</sst>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\₦#,##0.00;[RED]&quot;-₦&quot;#,##0.00;\-"/>
    <numFmt numFmtId="167" formatCode="0.0%;[RED]\-0.0%;\-"/>
    <numFmt numFmtId="168" formatCode="0.0%"/>
    <numFmt numFmtId="169" formatCode="\₦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6255A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E5484D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6255A"/>
        <bgColor rgb="FF333333"/>
      </patternFill>
    </fill>
    <fill>
      <patternFill patternType="solid">
        <fgColor rgb="FFFFF4C2"/>
        <bgColor rgb="FFFFFF99"/>
      </patternFill>
    </fill>
    <fill>
      <patternFill patternType="solid">
        <fgColor rgb="FFDDF3D5"/>
        <bgColor rgb="FFD9EEDF"/>
      </patternFill>
    </fill>
    <fill>
      <patternFill patternType="solid">
        <fgColor rgb="FFFBD9D9"/>
        <bgColor rgb="FFFFF4C2"/>
      </patternFill>
    </fill>
    <fill>
      <patternFill patternType="solid">
        <fgColor rgb="FFD9EEDF"/>
        <bgColor rgb="FFDDF3D5"/>
      </patternFill>
    </fill>
    <fill>
      <patternFill patternType="solid">
        <fgColor rgb="FFFFFF00"/>
        <bgColor rgb="FFFFFF00"/>
      </patternFill>
    </fill>
    <fill>
      <patternFill patternType="solid">
        <fgColor rgb="FFC9A400"/>
        <bgColor rgb="FFF59E0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6255A"/>
          <bgColor rgb="FF000000"/>
        </patternFill>
      </fill>
    </dxf>
    <dxf>
      <fill>
        <patternFill patternType="solid">
          <fgColor rgb="FFD9EEDF"/>
          <bgColor rgb="FF000000"/>
        </patternFill>
      </fill>
    </dxf>
    <dxf>
      <fill>
        <patternFill patternType="solid">
          <fgColor rgb="FFDDF3D5"/>
          <bgColor rgb="FF000000"/>
        </patternFill>
      </fill>
    </dxf>
    <dxf>
      <fill>
        <patternFill patternType="solid">
          <fgColor rgb="FFFBD9D9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9A4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1A7F37"/>
          <bgColor rgb="FF000000"/>
        </patternFill>
      </fill>
    </dxf>
    <dxf>
      <fill>
        <patternFill patternType="solid">
          <fgColor rgb="FF94A3B8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5484D"/>
        </patternFill>
      </fill>
    </dxf>
    <dxf>
      <font>
        <name val="Arial"/>
        <charset val="1"/>
        <family val="0"/>
        <b val="1"/>
        <color rgb="FF1A7F37"/>
      </font>
      <fill>
        <patternFill>
          <bgColor rgb="FFDDF3D5"/>
        </patternFill>
      </fill>
    </dxf>
    <dxf>
      <font>
        <name val="Arial"/>
        <charset val="1"/>
        <family val="0"/>
        <color rgb="FF94A3B8"/>
      </font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37"/>
      <rgbColor rgb="FFC0C0C0"/>
      <rgbColor rgb="FF808080"/>
      <rgbColor rgb="FF9999FF"/>
      <rgbColor rgb="FF993366"/>
      <rgbColor rgb="FFFFF4C2"/>
      <rgbColor rgb="FFD9EED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3D5"/>
      <rgbColor rgb="FFFFFF99"/>
      <rgbColor rgb="FF99CCFF"/>
      <rgbColor rgb="FFFF99CC"/>
      <rgbColor rgb="FFCC99FF"/>
      <rgbColor rgb="FFFBD9D9"/>
      <rgbColor rgb="FF2F7FE0"/>
      <rgbColor rgb="FF33CCCC"/>
      <rgbColor rgb="FFC9A400"/>
      <rgbColor rgb="FFFFCC00"/>
      <rgbColor rgb="FFF59E0B"/>
      <rgbColor rgb="FFE5484D"/>
      <rgbColor rgb="FF64748B"/>
      <rgbColor rgb="FF94A3B8"/>
      <rgbColor rgb="FF16255A"/>
      <rgbColor rgb="FF3DA82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55A"/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8.5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43.5" hidden="false" customHeight="true" outlineLevel="0" collapsed="false">
      <c r="A4" s="4" t="s">
        <v>2</v>
      </c>
      <c r="B4" s="5" t="s">
        <v>3</v>
      </c>
    </row>
    <row r="5" customFormat="false" ht="43.5" hidden="false" customHeight="true" outlineLevel="0" collapsed="false">
      <c r="A5" s="4" t="s">
        <v>4</v>
      </c>
      <c r="B5" s="5" t="s">
        <v>5</v>
      </c>
    </row>
    <row r="6" customFormat="false" ht="43.5" hidden="false" customHeight="true" outlineLevel="0" collapsed="false">
      <c r="A6" s="6" t="s">
        <v>6</v>
      </c>
      <c r="B6" s="5" t="s">
        <v>7</v>
      </c>
    </row>
    <row r="7" customFormat="false" ht="43.5" hidden="false" customHeight="true" outlineLevel="0" collapsed="false">
      <c r="A7" s="6" t="s">
        <v>8</v>
      </c>
      <c r="B7" s="5" t="s">
        <v>9</v>
      </c>
    </row>
    <row r="8" customFormat="false" ht="43.5" hidden="false" customHeight="true" outlineLevel="0" collapsed="false">
      <c r="A8" s="6" t="s">
        <v>10</v>
      </c>
      <c r="B8" s="5" t="s">
        <v>11</v>
      </c>
    </row>
    <row r="9" customFormat="false" ht="43.5" hidden="false" customHeight="true" outlineLevel="0" collapsed="false">
      <c r="A9" s="6" t="s">
        <v>12</v>
      </c>
      <c r="B9" s="5" t="s">
        <v>13</v>
      </c>
    </row>
    <row r="10" customFormat="false" ht="43.5" hidden="false" customHeight="true" outlineLevel="0" collapsed="false">
      <c r="A10" s="6" t="s">
        <v>14</v>
      </c>
      <c r="B10" s="5" t="s">
        <v>15</v>
      </c>
    </row>
    <row r="11" customFormat="false" ht="43.5" hidden="false" customHeight="true" outlineLevel="0" collapsed="false">
      <c r="A11" s="6" t="s">
        <v>16</v>
      </c>
      <c r="B11" s="5" t="s">
        <v>17</v>
      </c>
    </row>
    <row r="12" customFormat="false" ht="43.5" hidden="false" customHeight="true" outlineLevel="0" collapsed="false">
      <c r="A12" s="6" t="s">
        <v>18</v>
      </c>
      <c r="B12" s="5" t="s">
        <v>19</v>
      </c>
    </row>
    <row r="13" customFormat="false" ht="43.5" hidden="false" customHeight="true" outlineLevel="0" collapsed="false">
      <c r="A13" s="6" t="s">
        <v>20</v>
      </c>
      <c r="B13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55A"/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5"/>
  </cols>
  <sheetData>
    <row r="1" customFormat="false" ht="18.55" hidden="false" customHeight="false" outlineLevel="0" collapsed="false">
      <c r="A1" s="1" t="s">
        <v>22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42" hidden="false" customHeight="true" outlineLevel="0" collapsed="false">
      <c r="A4" s="7" t="s">
        <v>24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</row>
    <row r="5" customFormat="false" ht="15" hidden="false" customHeight="false" outlineLevel="0" collapsed="false">
      <c r="A5" s="8" t="s">
        <v>32</v>
      </c>
      <c r="B5" s="9" t="n">
        <f aca="false">COUNTIF('Data Plans'!$A$5:$A$140,A5)</f>
        <v>37</v>
      </c>
      <c r="C5" s="10" t="n">
        <f aca="false">_xlfn.MINIFS('Data Plans'!$G$5:$G$140,'Data Plans'!$A$5:$A$140,A5)</f>
        <v>94.09</v>
      </c>
      <c r="D5" s="9" t="n">
        <f aca="false">COUNTIFS('Data Plans'!$A$5:$A$140,A5,'Data Plans'!$I$5:$I$140,"&lt;&gt;")</f>
        <v>1</v>
      </c>
      <c r="E5" s="11" t="n">
        <f aca="false">COUNTIFS('Data Plans'!$A$5:$A$140,A5,'Data Plans'!$L$5:$L$140,"LOSS")</f>
        <v>0</v>
      </c>
      <c r="F5" s="12" t="n">
        <f aca="false">IFERROR(AVERAGEIFS('Data Plans'!$K$5:$K$140,'Data Plans'!$A$5:$A$140,A5,'Data Plans'!$I$5:$I$140,"&lt;&gt;"),"")</f>
        <v>0.151428571428571</v>
      </c>
      <c r="G5" s="9" t="n">
        <f aca="false">COUNTIFS('Airtime Print'!$A$5:$A$24,A5,'Airtime Print'!$F$5:$F$24,"&lt;&gt;")</f>
        <v>0</v>
      </c>
      <c r="H5" s="12" t="str">
        <f aca="false">IFERROR(AVERAGEIFS('Airtime Print'!$H$5:$H$24,'Airtime Print'!$A$5:$A$24,A5,'Airtime Print'!$F$5:$F$24,"&lt;&gt;"),"")</f>
        <v/>
      </c>
    </row>
    <row r="6" customFormat="false" ht="15" hidden="false" customHeight="false" outlineLevel="0" collapsed="false">
      <c r="A6" s="13" t="s">
        <v>33</v>
      </c>
      <c r="B6" s="9" t="n">
        <f aca="false">COUNTIF('Data Plans'!$A$5:$A$140,A6)</f>
        <v>41</v>
      </c>
      <c r="C6" s="10" t="n">
        <f aca="false">_xlfn.MINIFS('Data Plans'!$G$5:$G$140,'Data Plans'!$A$5:$A$140,A6)</f>
        <v>92.64</v>
      </c>
      <c r="D6" s="9" t="n">
        <f aca="false">COUNTIFS('Data Plans'!$A$5:$A$140,A6,'Data Plans'!$I$5:$I$140,"&lt;&gt;")</f>
        <v>0</v>
      </c>
      <c r="E6" s="11" t="n">
        <f aca="false">COUNTIFS('Data Plans'!$A$5:$A$140,A6,'Data Plans'!$L$5:$L$140,"LOSS")</f>
        <v>0</v>
      </c>
      <c r="F6" s="12" t="str">
        <f aca="false">IFERROR(AVERAGEIFS('Data Plans'!$K$5:$K$140,'Data Plans'!$A$5:$A$140,A6,'Data Plans'!$I$5:$I$140,"&lt;&gt;"),"")</f>
        <v/>
      </c>
      <c r="G6" s="9" t="n">
        <f aca="false">COUNTIFS('Airtime Print'!$A$5:$A$24,A6,'Airtime Print'!$F$5:$F$24,"&lt;&gt;")</f>
        <v>0</v>
      </c>
      <c r="H6" s="12" t="str">
        <f aca="false">IFERROR(AVERAGEIFS('Airtime Print'!$H$5:$H$24,'Airtime Print'!$A$5:$A$24,A6,'Airtime Print'!$F$5:$F$24,"&lt;&gt;"),"")</f>
        <v/>
      </c>
    </row>
    <row r="7" customFormat="false" ht="15" hidden="false" customHeight="false" outlineLevel="0" collapsed="false">
      <c r="A7" s="14" t="s">
        <v>34</v>
      </c>
      <c r="B7" s="9" t="n">
        <f aca="false">COUNTIF('Data Plans'!$A$5:$A$140,A7)</f>
        <v>27</v>
      </c>
      <c r="C7" s="10" t="n">
        <f aca="false">_xlfn.MINIFS('Data Plans'!$G$5:$G$140,'Data Plans'!$A$5:$A$140,A7)</f>
        <v>470.37</v>
      </c>
      <c r="D7" s="9" t="n">
        <f aca="false">COUNTIFS('Data Plans'!$A$5:$A$140,A7,'Data Plans'!$I$5:$I$140,"&lt;&gt;")</f>
        <v>0</v>
      </c>
      <c r="E7" s="11" t="n">
        <f aca="false">COUNTIFS('Data Plans'!$A$5:$A$140,A7,'Data Plans'!$L$5:$L$140,"LOSS")</f>
        <v>0</v>
      </c>
      <c r="F7" s="12" t="str">
        <f aca="false">IFERROR(AVERAGEIFS('Data Plans'!$K$5:$K$140,'Data Plans'!$A$5:$A$140,A7,'Data Plans'!$I$5:$I$140,"&lt;&gt;"),"")</f>
        <v/>
      </c>
      <c r="G7" s="9" t="n">
        <f aca="false">COUNTIFS('Airtime Print'!$A$5:$A$24,A7,'Airtime Print'!$F$5:$F$24,"&lt;&gt;")</f>
        <v>0</v>
      </c>
      <c r="H7" s="12" t="str">
        <f aca="false">IFERROR(AVERAGEIFS('Airtime Print'!$H$5:$H$24,'Airtime Print'!$A$5:$A$24,A7,'Airtime Print'!$F$5:$F$24,"&lt;&gt;"),"")</f>
        <v/>
      </c>
    </row>
    <row r="8" customFormat="false" ht="15" hidden="false" customHeight="false" outlineLevel="0" collapsed="false">
      <c r="A8" s="15" t="s">
        <v>35</v>
      </c>
      <c r="B8" s="9" t="n">
        <f aca="false">COUNTIF('Data Plans'!$A$5:$A$140,A8)</f>
        <v>31</v>
      </c>
      <c r="C8" s="10" t="n">
        <f aca="false">_xlfn.MINIFS('Data Plans'!$G$5:$G$140,'Data Plans'!$A$5:$A$140,A8)</f>
        <v>25</v>
      </c>
      <c r="D8" s="9" t="n">
        <f aca="false">COUNTIFS('Data Plans'!$A$5:$A$140,A8,'Data Plans'!$I$5:$I$140,"&lt;&gt;")</f>
        <v>0</v>
      </c>
      <c r="E8" s="11" t="n">
        <f aca="false">COUNTIFS('Data Plans'!$A$5:$A$140,A8,'Data Plans'!$L$5:$L$140,"LOSS")</f>
        <v>0</v>
      </c>
      <c r="F8" s="12" t="str">
        <f aca="false">IFERROR(AVERAGEIFS('Data Plans'!$K$5:$K$140,'Data Plans'!$A$5:$A$140,A8,'Data Plans'!$I$5:$I$140,"&lt;&gt;"),"")</f>
        <v/>
      </c>
      <c r="G8" s="9" t="n">
        <f aca="false">COUNTIFS('Airtime Print'!$A$5:$A$24,A8,'Airtime Print'!$F$5:$F$24,"&lt;&gt;")</f>
        <v>0</v>
      </c>
      <c r="H8" s="12" t="str">
        <f aca="false">IFERROR(AVERAGEIFS('Airtime Print'!$H$5:$H$24,'Airtime Print'!$A$5:$A$24,A8,'Airtime Print'!$F$5:$F$24,"&lt;&gt;"),"")</f>
        <v/>
      </c>
    </row>
    <row r="9" customFormat="false" ht="15" hidden="false" customHeight="false" outlineLevel="0" collapsed="false">
      <c r="A9" s="6" t="s">
        <v>36</v>
      </c>
      <c r="B9" s="16" t="n">
        <f aca="false">SUM(B5:B8)</f>
        <v>136</v>
      </c>
      <c r="C9" s="2"/>
      <c r="D9" s="16" t="n">
        <f aca="false">SUM(D5:D8)</f>
        <v>1</v>
      </c>
      <c r="E9" s="16" t="n">
        <f aca="false">SUM(E5:E8)</f>
        <v>0</v>
      </c>
      <c r="F9" s="2"/>
      <c r="G9" s="16" t="n">
        <f aca="false">SUM(G5:G8)</f>
        <v>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40"/>
  </cols>
  <sheetData>
    <row r="1" customFormat="false" ht="18.55" hidden="false" customHeight="false" outlineLevel="0" collapsed="false">
      <c r="A1" s="1" t="s">
        <v>37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38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6" t="s">
        <v>39</v>
      </c>
      <c r="B4" s="17" t="n">
        <v>0.05</v>
      </c>
      <c r="C4" s="3" t="s">
        <v>40</v>
      </c>
      <c r="D4" s="2"/>
      <c r="E4" s="2"/>
      <c r="F4" s="2"/>
    </row>
    <row r="5" customFormat="false" ht="15" hidden="false" customHeight="false" outlineLevel="0" collapsed="false">
      <c r="A5" s="6" t="s">
        <v>41</v>
      </c>
      <c r="B5" s="17" t="n">
        <v>0.01</v>
      </c>
      <c r="C5" s="3" t="s">
        <v>42</v>
      </c>
      <c r="D5" s="2"/>
      <c r="E5" s="2"/>
      <c r="F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</row>
    <row r="8" customFormat="false" ht="31.5" hidden="false" customHeight="true" outlineLevel="0" collapsed="false">
      <c r="A8" s="7" t="s">
        <v>24</v>
      </c>
      <c r="B8" s="7" t="s">
        <v>43</v>
      </c>
      <c r="C8" s="7" t="s">
        <v>44</v>
      </c>
      <c r="D8" s="7" t="s">
        <v>45</v>
      </c>
      <c r="E8" s="7" t="s">
        <v>46</v>
      </c>
      <c r="F8" s="7" t="s">
        <v>47</v>
      </c>
    </row>
    <row r="9" customFormat="false" ht="15" hidden="false" customHeight="false" outlineLevel="0" collapsed="false">
      <c r="A9" s="8" t="s">
        <v>32</v>
      </c>
      <c r="B9" s="18" t="n">
        <v>0.03</v>
      </c>
      <c r="C9" s="18" t="n">
        <v>0.01</v>
      </c>
      <c r="D9" s="19" t="n">
        <v>50</v>
      </c>
      <c r="E9" s="19" t="n">
        <v>200000</v>
      </c>
      <c r="F9" s="10" t="n">
        <f aca="false">1000*(1-B9)</f>
        <v>970</v>
      </c>
    </row>
    <row r="10" customFormat="false" ht="15" hidden="false" customHeight="false" outlineLevel="0" collapsed="false">
      <c r="A10" s="13" t="s">
        <v>33</v>
      </c>
      <c r="B10" s="18" t="n">
        <v>0.08</v>
      </c>
      <c r="C10" s="18" t="n">
        <v>0.02</v>
      </c>
      <c r="D10" s="19" t="n">
        <v>50</v>
      </c>
      <c r="E10" s="19" t="n">
        <v>200000</v>
      </c>
      <c r="F10" s="10" t="n">
        <f aca="false">1000*(1-B10)</f>
        <v>920</v>
      </c>
    </row>
    <row r="11" customFormat="false" ht="15" hidden="false" customHeight="false" outlineLevel="0" collapsed="false">
      <c r="A11" s="14" t="s">
        <v>34</v>
      </c>
      <c r="B11" s="18" t="n">
        <v>0.03</v>
      </c>
      <c r="C11" s="18" t="n">
        <v>0.02</v>
      </c>
      <c r="D11" s="19" t="n">
        <v>50</v>
      </c>
      <c r="E11" s="19" t="n">
        <v>200000</v>
      </c>
      <c r="F11" s="10" t="n">
        <f aca="false">1000*(1-B11)</f>
        <v>970</v>
      </c>
    </row>
    <row r="12" customFormat="false" ht="15" hidden="false" customHeight="false" outlineLevel="0" collapsed="false">
      <c r="A12" s="15" t="s">
        <v>35</v>
      </c>
      <c r="B12" s="18" t="n">
        <v>0.07</v>
      </c>
      <c r="C12" s="18" t="n">
        <v>0.05</v>
      </c>
      <c r="D12" s="19" t="n">
        <v>50</v>
      </c>
      <c r="E12" s="19" t="n">
        <v>200000</v>
      </c>
      <c r="F12" s="10" t="n">
        <f aca="false">1000*(1-B12)</f>
        <v>930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3" t="s">
        <v>48</v>
      </c>
      <c r="B14" s="2"/>
      <c r="C14" s="2"/>
      <c r="D14" s="2"/>
      <c r="E14" s="2"/>
      <c r="F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A829"/>
    <pageSetUpPr fitToPage="false"/>
  </sheetPr>
  <dimension ref="A1:N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4" min="13" style="0" width="13"/>
  </cols>
  <sheetData>
    <row r="1" customFormat="false" ht="18.55" hidden="false" customHeight="false" outlineLevel="0" collapsed="false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42" hidden="false" customHeight="true" outlineLevel="0" collapsed="false">
      <c r="A4" s="7" t="s">
        <v>24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  <c r="I4" s="20" t="s">
        <v>58</v>
      </c>
      <c r="J4" s="7" t="s">
        <v>59</v>
      </c>
      <c r="K4" s="7" t="s">
        <v>60</v>
      </c>
      <c r="L4" s="7" t="s">
        <v>61</v>
      </c>
      <c r="M4" s="7" t="s">
        <v>62</v>
      </c>
      <c r="N4" s="7" t="s">
        <v>63</v>
      </c>
    </row>
    <row r="5" customFormat="false" ht="15" hidden="false" customHeight="false" outlineLevel="0" collapsed="false">
      <c r="A5" s="8" t="s">
        <v>32</v>
      </c>
      <c r="B5" s="9" t="s">
        <v>64</v>
      </c>
      <c r="C5" s="9" t="s">
        <v>65</v>
      </c>
      <c r="D5" s="9" t="s">
        <v>66</v>
      </c>
      <c r="E5" s="21" t="s">
        <v>67</v>
      </c>
      <c r="F5" s="22"/>
      <c r="G5" s="22" t="n">
        <v>297</v>
      </c>
      <c r="H5" s="10" t="n">
        <v>400</v>
      </c>
      <c r="I5" s="23" t="n">
        <v>350</v>
      </c>
      <c r="J5" s="10" t="n">
        <f aca="false">IF(I5="","",I5-G5)</f>
        <v>53</v>
      </c>
      <c r="K5" s="12" t="n">
        <f aca="false">IF(OR(I5="",I5=0),"",J5/I5)</f>
        <v>0.151428571428571</v>
      </c>
      <c r="L5" s="24" t="str">
        <f aca="false">IF(I5="","Set price",IF(I5&lt;G5,"LOSS",IF(I5=G5,"Break-even","OK")))</f>
        <v>OK</v>
      </c>
      <c r="M5" s="10" t="n">
        <f aca="false">IF(F5="",CEILING(G5*(1+Settings!$B$4),5),MIN(F5,CEILING(G5*(1+Settings!$B$4),5)))</f>
        <v>315</v>
      </c>
      <c r="N5" s="12" t="str">
        <f aca="false">IF(F5="","",1-G5/F5)</f>
        <v/>
      </c>
    </row>
    <row r="6" customFormat="false" ht="15" hidden="false" customHeight="false" outlineLevel="0" collapsed="false">
      <c r="A6" s="8" t="s">
        <v>32</v>
      </c>
      <c r="B6" s="9" t="s">
        <v>64</v>
      </c>
      <c r="C6" s="9" t="s">
        <v>68</v>
      </c>
      <c r="D6" s="9" t="s">
        <v>69</v>
      </c>
      <c r="E6" s="21" t="s">
        <v>70</v>
      </c>
      <c r="F6" s="22"/>
      <c r="G6" s="22" t="n">
        <v>307</v>
      </c>
      <c r="H6" s="10" t="n">
        <v>500</v>
      </c>
      <c r="I6" s="23"/>
      <c r="J6" s="10" t="str">
        <f aca="false">IF(I6="","",I6-G6)</f>
        <v/>
      </c>
      <c r="K6" s="12" t="str">
        <f aca="false">IF(OR(I6="",I6=0),"",J6/I6)</f>
        <v/>
      </c>
      <c r="L6" s="24" t="str">
        <f aca="false">IF(I6="","Set price",IF(I6&lt;G6,"LOSS",IF(I6=G6,"Break-even","OK")))</f>
        <v>Set price</v>
      </c>
      <c r="M6" s="10" t="n">
        <f aca="false">IF(F6="",CEILING(G6*(1+Settings!$B$4),5),MIN(F6,CEILING(G6*(1+Settings!$B$4),5)))</f>
        <v>325</v>
      </c>
      <c r="N6" s="12" t="str">
        <f aca="false">IF(F6="","",1-G6/F6)</f>
        <v/>
      </c>
    </row>
    <row r="7" customFormat="false" ht="15" hidden="false" customHeight="false" outlineLevel="0" collapsed="false">
      <c r="A7" s="8" t="s">
        <v>32</v>
      </c>
      <c r="B7" s="9" t="s">
        <v>64</v>
      </c>
      <c r="C7" s="9" t="s">
        <v>71</v>
      </c>
      <c r="D7" s="9" t="s">
        <v>66</v>
      </c>
      <c r="E7" s="21" t="s">
        <v>72</v>
      </c>
      <c r="F7" s="22"/>
      <c r="G7" s="22" t="n">
        <v>410</v>
      </c>
      <c r="H7" s="10" t="n">
        <v>500</v>
      </c>
      <c r="I7" s="23"/>
      <c r="J7" s="10" t="str">
        <f aca="false">IF(I7="","",I7-G7)</f>
        <v/>
      </c>
      <c r="K7" s="12" t="str">
        <f aca="false">IF(OR(I7="",I7=0),"",J7/I7)</f>
        <v/>
      </c>
      <c r="L7" s="24" t="str">
        <f aca="false">IF(I7="","Set price",IF(I7&lt;G7,"LOSS",IF(I7=G7,"Break-even","OK")))</f>
        <v>Set price</v>
      </c>
      <c r="M7" s="10" t="n">
        <f aca="false">IF(F7="",CEILING(G7*(1+Settings!$B$4),5),MIN(F7,CEILING(G7*(1+Settings!$B$4),5)))</f>
        <v>435</v>
      </c>
      <c r="N7" s="12" t="str">
        <f aca="false">IF(F7="","",1-G7/F7)</f>
        <v/>
      </c>
    </row>
    <row r="8" customFormat="false" ht="15" hidden="false" customHeight="false" outlineLevel="0" collapsed="false">
      <c r="A8" s="8" t="s">
        <v>32</v>
      </c>
      <c r="B8" s="9" t="s">
        <v>64</v>
      </c>
      <c r="C8" s="9" t="s">
        <v>73</v>
      </c>
      <c r="D8" s="9" t="s">
        <v>69</v>
      </c>
      <c r="E8" s="21" t="s">
        <v>74</v>
      </c>
      <c r="F8" s="22"/>
      <c r="G8" s="22" t="n">
        <v>563</v>
      </c>
      <c r="H8" s="10" t="n">
        <v>700</v>
      </c>
      <c r="I8" s="23"/>
      <c r="J8" s="10" t="str">
        <f aca="false">IF(I8="","",I8-G8)</f>
        <v/>
      </c>
      <c r="K8" s="12" t="str">
        <f aca="false">IF(OR(I8="",I8=0),"",J8/I8)</f>
        <v/>
      </c>
      <c r="L8" s="24" t="str">
        <f aca="false">IF(I8="","Set price",IF(I8&lt;G8,"LOSS",IF(I8=G8,"Break-even","OK")))</f>
        <v>Set price</v>
      </c>
      <c r="M8" s="10" t="n">
        <f aca="false">IF(F8="",CEILING(G8*(1+Settings!$B$4),5),MIN(F8,CEILING(G8*(1+Settings!$B$4),5)))</f>
        <v>595</v>
      </c>
      <c r="N8" s="12" t="str">
        <f aca="false">IF(F8="","",1-G8/F8)</f>
        <v/>
      </c>
    </row>
    <row r="9" customFormat="false" ht="15" hidden="false" customHeight="false" outlineLevel="0" collapsed="false">
      <c r="A9" s="8" t="s">
        <v>32</v>
      </c>
      <c r="B9" s="9" t="s">
        <v>64</v>
      </c>
      <c r="C9" s="9" t="s">
        <v>75</v>
      </c>
      <c r="D9" s="9" t="s">
        <v>66</v>
      </c>
      <c r="E9" s="21" t="s">
        <v>76</v>
      </c>
      <c r="F9" s="22"/>
      <c r="G9" s="22" t="n">
        <v>820</v>
      </c>
      <c r="H9" s="10" t="n">
        <v>1200</v>
      </c>
      <c r="I9" s="23"/>
      <c r="J9" s="10" t="str">
        <f aca="false">IF(I9="","",I9-G9)</f>
        <v/>
      </c>
      <c r="K9" s="12" t="str">
        <f aca="false">IF(OR(I9="",I9=0),"",J9/I9)</f>
        <v/>
      </c>
      <c r="L9" s="24" t="str">
        <f aca="false">IF(I9="","Set price",IF(I9&lt;G9,"LOSS",IF(I9=G9,"Break-even","OK")))</f>
        <v>Set price</v>
      </c>
      <c r="M9" s="10" t="n">
        <f aca="false">IF(F9="",CEILING(G9*(1+Settings!$B$4),5),MIN(F9,CEILING(G9*(1+Settings!$B$4),5)))</f>
        <v>865</v>
      </c>
      <c r="N9" s="12" t="str">
        <f aca="false">IF(F9="","",1-G9/F9)</f>
        <v/>
      </c>
    </row>
    <row r="10" customFormat="false" ht="15" hidden="false" customHeight="false" outlineLevel="0" collapsed="false">
      <c r="A10" s="8" t="s">
        <v>32</v>
      </c>
      <c r="B10" s="9" t="s">
        <v>64</v>
      </c>
      <c r="C10" s="9" t="s">
        <v>77</v>
      </c>
      <c r="D10" s="9" t="s">
        <v>69</v>
      </c>
      <c r="E10" s="21" t="s">
        <v>78</v>
      </c>
      <c r="F10" s="22"/>
      <c r="G10" s="22" t="n">
        <v>1117</v>
      </c>
      <c r="H10" s="10" t="n">
        <v>1500</v>
      </c>
      <c r="I10" s="23"/>
      <c r="J10" s="10" t="str">
        <f aca="false">IF(I10="","",I10-G10)</f>
        <v/>
      </c>
      <c r="K10" s="12" t="str">
        <f aca="false">IF(OR(I10="",I10=0),"",J10/I10)</f>
        <v/>
      </c>
      <c r="L10" s="24" t="str">
        <f aca="false">IF(I10="","Set price",IF(I10&lt;G10,"LOSS",IF(I10=G10,"Break-even","OK")))</f>
        <v>Set price</v>
      </c>
      <c r="M10" s="10" t="n">
        <f aca="false">IF(F10="",CEILING(G10*(1+Settings!$B$4),5),MIN(F10,CEILING(G10*(1+Settings!$B$4),5)))</f>
        <v>1175</v>
      </c>
      <c r="N10" s="12" t="str">
        <f aca="false">IF(F10="","",1-G10/F10)</f>
        <v/>
      </c>
    </row>
    <row r="11" customFormat="false" ht="15" hidden="false" customHeight="false" outlineLevel="0" collapsed="false">
      <c r="A11" s="8" t="s">
        <v>32</v>
      </c>
      <c r="B11" s="9" t="s">
        <v>64</v>
      </c>
      <c r="C11" s="9" t="s">
        <v>79</v>
      </c>
      <c r="D11" s="9" t="s">
        <v>66</v>
      </c>
      <c r="E11" s="21" t="s">
        <v>80</v>
      </c>
      <c r="F11" s="22"/>
      <c r="G11" s="22" t="n">
        <v>1230</v>
      </c>
      <c r="H11" s="10" t="n">
        <v>1400</v>
      </c>
      <c r="I11" s="23"/>
      <c r="J11" s="10" t="str">
        <f aca="false">IF(I11="","",I11-G11)</f>
        <v/>
      </c>
      <c r="K11" s="12" t="str">
        <f aca="false">IF(OR(I11="",I11=0),"",J11/I11)</f>
        <v/>
      </c>
      <c r="L11" s="24" t="str">
        <f aca="false">IF(I11="","Set price",IF(I11&lt;G11,"LOSS",IF(I11=G11,"Break-even","OK")))</f>
        <v>Set price</v>
      </c>
      <c r="M11" s="10" t="n">
        <f aca="false">IF(F11="",CEILING(G11*(1+Settings!$B$4),5),MIN(F11,CEILING(G11*(1+Settings!$B$4),5)))</f>
        <v>1295</v>
      </c>
      <c r="N11" s="12" t="str">
        <f aca="false">IF(F11="","",1-G11/F11)</f>
        <v/>
      </c>
    </row>
    <row r="12" customFormat="false" ht="15" hidden="false" customHeight="false" outlineLevel="0" collapsed="false">
      <c r="A12" s="8" t="s">
        <v>32</v>
      </c>
      <c r="B12" s="9" t="s">
        <v>64</v>
      </c>
      <c r="C12" s="9" t="s">
        <v>81</v>
      </c>
      <c r="D12" s="9" t="s">
        <v>69</v>
      </c>
      <c r="E12" s="21" t="s">
        <v>82</v>
      </c>
      <c r="F12" s="22"/>
      <c r="G12" s="22" t="n">
        <v>1629</v>
      </c>
      <c r="H12" s="10" t="n">
        <v>1800</v>
      </c>
      <c r="I12" s="23"/>
      <c r="J12" s="10" t="str">
        <f aca="false">IF(I12="","",I12-G12)</f>
        <v/>
      </c>
      <c r="K12" s="12" t="str">
        <f aca="false">IF(OR(I12="",I12=0),"",J12/I12)</f>
        <v/>
      </c>
      <c r="L12" s="24" t="str">
        <f aca="false">IF(I12="","Set price",IF(I12&lt;G12,"LOSS",IF(I12=G12,"Break-even","OK")))</f>
        <v>Set price</v>
      </c>
      <c r="M12" s="10" t="n">
        <f aca="false">IF(F12="",CEILING(G12*(1+Settings!$B$4),5),MIN(F12,CEILING(G12*(1+Settings!$B$4),5)))</f>
        <v>1715</v>
      </c>
      <c r="N12" s="12" t="str">
        <f aca="false">IF(F12="","",1-G12/F12)</f>
        <v/>
      </c>
    </row>
    <row r="13" customFormat="false" ht="15" hidden="false" customHeight="false" outlineLevel="0" collapsed="false">
      <c r="A13" s="8" t="s">
        <v>32</v>
      </c>
      <c r="B13" s="9" t="s">
        <v>64</v>
      </c>
      <c r="C13" s="9" t="s">
        <v>83</v>
      </c>
      <c r="D13" s="9" t="s">
        <v>69</v>
      </c>
      <c r="E13" s="21" t="s">
        <v>84</v>
      </c>
      <c r="F13" s="22"/>
      <c r="G13" s="22" t="n">
        <v>2511</v>
      </c>
      <c r="H13" s="10" t="n">
        <v>2850</v>
      </c>
      <c r="I13" s="23"/>
      <c r="J13" s="10" t="str">
        <f aca="false">IF(I13="","",I13-G13)</f>
        <v/>
      </c>
      <c r="K13" s="12" t="str">
        <f aca="false">IF(OR(I13="",I13=0),"",J13/I13)</f>
        <v/>
      </c>
      <c r="L13" s="24" t="str">
        <f aca="false">IF(I13="","Set price",IF(I13&lt;G13,"LOSS",IF(I13=G13,"Break-even","OK")))</f>
        <v>Set price</v>
      </c>
      <c r="M13" s="10" t="n">
        <f aca="false">IF(F13="",CEILING(G13*(1+Settings!$B$4),5),MIN(F13,CEILING(G13*(1+Settings!$B$4),5)))</f>
        <v>2640</v>
      </c>
      <c r="N13" s="12" t="str">
        <f aca="false">IF(F13="","",1-G13/F13)</f>
        <v/>
      </c>
    </row>
    <row r="14" customFormat="false" ht="15" hidden="false" customHeight="false" outlineLevel="0" collapsed="false">
      <c r="A14" s="8" t="s">
        <v>32</v>
      </c>
      <c r="B14" s="9" t="s">
        <v>85</v>
      </c>
      <c r="C14" s="9" t="s">
        <v>86</v>
      </c>
      <c r="D14" s="9" t="s">
        <v>87</v>
      </c>
      <c r="E14" s="21" t="s">
        <v>88</v>
      </c>
      <c r="F14" s="22" t="n">
        <v>100</v>
      </c>
      <c r="G14" s="22" t="n">
        <v>94.09</v>
      </c>
      <c r="H14" s="10" t="n">
        <v>150</v>
      </c>
      <c r="I14" s="23"/>
      <c r="J14" s="10" t="str">
        <f aca="false">IF(I14="","",I14-G14)</f>
        <v/>
      </c>
      <c r="K14" s="12" t="str">
        <f aca="false">IF(OR(I14="",I14=0),"",J14/I14)</f>
        <v/>
      </c>
      <c r="L14" s="24" t="str">
        <f aca="false">IF(I14="","Set price",IF(I14&lt;G14,"LOSS",IF(I14=G14,"Break-even","OK")))</f>
        <v>Set price</v>
      </c>
      <c r="M14" s="10" t="n">
        <f aca="false">IF(F14="",CEILING(G14*(1+Settings!$B$4),5),MIN(F14,CEILING(G14*(1+Settings!$B$4),5)))</f>
        <v>100</v>
      </c>
      <c r="N14" s="12" t="n">
        <f aca="false">IF(F14="","",1-G14/F14)</f>
        <v>0.0590999999999999</v>
      </c>
    </row>
    <row r="15" customFormat="false" ht="15" hidden="false" customHeight="false" outlineLevel="0" collapsed="false">
      <c r="A15" s="8" t="s">
        <v>32</v>
      </c>
      <c r="B15" s="9" t="s">
        <v>85</v>
      </c>
      <c r="C15" s="9" t="s">
        <v>89</v>
      </c>
      <c r="D15" s="9" t="s">
        <v>87</v>
      </c>
      <c r="E15" s="21" t="s">
        <v>90</v>
      </c>
      <c r="F15" s="22" t="n">
        <v>200</v>
      </c>
      <c r="G15" s="22" t="n">
        <v>188.18</v>
      </c>
      <c r="H15" s="10" t="n">
        <v>250</v>
      </c>
      <c r="I15" s="23"/>
      <c r="J15" s="10" t="str">
        <f aca="false">IF(I15="","",I15-G15)</f>
        <v/>
      </c>
      <c r="K15" s="12" t="str">
        <f aca="false">IF(OR(I15="",I15=0),"",J15/I15)</f>
        <v/>
      </c>
      <c r="L15" s="24" t="str">
        <f aca="false">IF(I15="","Set price",IF(I15&lt;G15,"LOSS",IF(I15=G15,"Break-even","OK")))</f>
        <v>Set price</v>
      </c>
      <c r="M15" s="10" t="n">
        <f aca="false">IF(F15="",CEILING(G15*(1+Settings!$B$4),5),MIN(F15,CEILING(G15*(1+Settings!$B$4),5)))</f>
        <v>200</v>
      </c>
      <c r="N15" s="12" t="n">
        <f aca="false">IF(F15="","",1-G15/F15)</f>
        <v>0.0590999999999999</v>
      </c>
    </row>
    <row r="16" customFormat="false" ht="15" hidden="false" customHeight="false" outlineLevel="0" collapsed="false">
      <c r="A16" s="8" t="s">
        <v>32</v>
      </c>
      <c r="B16" s="9" t="s">
        <v>85</v>
      </c>
      <c r="C16" s="9" t="s">
        <v>91</v>
      </c>
      <c r="D16" s="9" t="s">
        <v>87</v>
      </c>
      <c r="E16" s="21" t="s">
        <v>92</v>
      </c>
      <c r="F16" s="22" t="n">
        <v>350</v>
      </c>
      <c r="G16" s="22" t="n">
        <v>329.32</v>
      </c>
      <c r="H16" s="10" t="n">
        <v>400</v>
      </c>
      <c r="I16" s="23"/>
      <c r="J16" s="10" t="str">
        <f aca="false">IF(I16="","",I16-G16)</f>
        <v/>
      </c>
      <c r="K16" s="12" t="str">
        <f aca="false">IF(OR(I16="",I16=0),"",J16/I16)</f>
        <v/>
      </c>
      <c r="L16" s="24" t="str">
        <f aca="false">IF(I16="","Set price",IF(I16&lt;G16,"LOSS",IF(I16=G16,"Break-even","OK")))</f>
        <v>Set price</v>
      </c>
      <c r="M16" s="10" t="n">
        <f aca="false">IF(F16="",CEILING(G16*(1+Settings!$B$4),5),MIN(F16,CEILING(G16*(1+Settings!$B$4),5)))</f>
        <v>350</v>
      </c>
      <c r="N16" s="12" t="n">
        <f aca="false">IF(F16="","",1-G16/F16)</f>
        <v>0.0590857142857143</v>
      </c>
    </row>
    <row r="17" customFormat="false" ht="15" hidden="false" customHeight="false" outlineLevel="0" collapsed="false">
      <c r="A17" s="8" t="s">
        <v>32</v>
      </c>
      <c r="B17" s="9" t="s">
        <v>85</v>
      </c>
      <c r="C17" s="9" t="s">
        <v>93</v>
      </c>
      <c r="D17" s="9" t="s">
        <v>87</v>
      </c>
      <c r="E17" s="21" t="s">
        <v>94</v>
      </c>
      <c r="F17" s="22" t="n">
        <v>500</v>
      </c>
      <c r="G17" s="22" t="n">
        <v>470.45</v>
      </c>
      <c r="H17" s="10" t="n">
        <v>500</v>
      </c>
      <c r="I17" s="23"/>
      <c r="J17" s="10" t="str">
        <f aca="false">IF(I17="","",I17-G17)</f>
        <v/>
      </c>
      <c r="K17" s="12" t="str">
        <f aca="false">IF(OR(I17="",I17=0),"",J17/I17)</f>
        <v/>
      </c>
      <c r="L17" s="24" t="str">
        <f aca="false">IF(I17="","Set price",IF(I17&lt;G17,"LOSS",IF(I17=G17,"Break-even","OK")))</f>
        <v>Set price</v>
      </c>
      <c r="M17" s="10" t="n">
        <f aca="false">IF(F17="",CEILING(G17*(1+Settings!$B$4),5),MIN(F17,CEILING(G17*(1+Settings!$B$4),5)))</f>
        <v>495</v>
      </c>
      <c r="N17" s="12" t="n">
        <f aca="false">IF(F17="","",1-G17/F17)</f>
        <v>0.0591</v>
      </c>
    </row>
    <row r="18" customFormat="false" ht="15" hidden="false" customHeight="false" outlineLevel="0" collapsed="false">
      <c r="A18" s="8" t="s">
        <v>32</v>
      </c>
      <c r="B18" s="9" t="s">
        <v>85</v>
      </c>
      <c r="C18" s="9" t="s">
        <v>95</v>
      </c>
      <c r="D18" s="9" t="s">
        <v>87</v>
      </c>
      <c r="E18" s="21" t="s">
        <v>96</v>
      </c>
      <c r="F18" s="22" t="n">
        <v>750</v>
      </c>
      <c r="G18" s="22" t="n">
        <v>705.68</v>
      </c>
      <c r="H18" s="10" t="n">
        <v>750</v>
      </c>
      <c r="I18" s="23"/>
      <c r="J18" s="10" t="str">
        <f aca="false">IF(I18="","",I18-G18)</f>
        <v/>
      </c>
      <c r="K18" s="12" t="str">
        <f aca="false">IF(OR(I18="",I18=0),"",J18/I18)</f>
        <v/>
      </c>
      <c r="L18" s="24" t="str">
        <f aca="false">IF(I18="","Set price",IF(I18&lt;G18,"LOSS",IF(I18=G18,"Break-even","OK")))</f>
        <v>Set price</v>
      </c>
      <c r="M18" s="10" t="n">
        <f aca="false">IF(F18="",CEILING(G18*(1+Settings!$B$4),5),MIN(F18,CEILING(G18*(1+Settings!$B$4),5)))</f>
        <v>745</v>
      </c>
      <c r="N18" s="12" t="n">
        <f aca="false">IF(F18="","",1-G18/F18)</f>
        <v>0.0590933333333334</v>
      </c>
    </row>
    <row r="19" customFormat="false" ht="15" hidden="false" customHeight="false" outlineLevel="0" collapsed="false">
      <c r="A19" s="8" t="s">
        <v>32</v>
      </c>
      <c r="B19" s="9" t="s">
        <v>85</v>
      </c>
      <c r="C19" s="9" t="s">
        <v>97</v>
      </c>
      <c r="D19" s="9" t="s">
        <v>98</v>
      </c>
      <c r="E19" s="21" t="s">
        <v>99</v>
      </c>
      <c r="F19" s="22" t="n">
        <v>900</v>
      </c>
      <c r="G19" s="22" t="n">
        <v>846.81</v>
      </c>
      <c r="H19" s="10" t="n">
        <v>900</v>
      </c>
      <c r="I19" s="23"/>
      <c r="J19" s="10" t="str">
        <f aca="false">IF(I19="","",I19-G19)</f>
        <v/>
      </c>
      <c r="K19" s="12" t="str">
        <f aca="false">IF(OR(I19="",I19=0),"",J19/I19)</f>
        <v/>
      </c>
      <c r="L19" s="24" t="str">
        <f aca="false">IF(I19="","Set price",IF(I19&lt;G19,"LOSS",IF(I19=G19,"Break-even","OK")))</f>
        <v>Set price</v>
      </c>
      <c r="M19" s="10" t="n">
        <f aca="false">IF(F19="",CEILING(G19*(1+Settings!$B$4),5),MIN(F19,CEILING(G19*(1+Settings!$B$4),5)))</f>
        <v>890</v>
      </c>
      <c r="N19" s="12" t="n">
        <f aca="false">IF(F19="","",1-G19/F19)</f>
        <v>0.0591</v>
      </c>
    </row>
    <row r="20" customFormat="false" ht="15" hidden="false" customHeight="false" outlineLevel="0" collapsed="false">
      <c r="A20" s="8" t="s">
        <v>32</v>
      </c>
      <c r="B20" s="9" t="s">
        <v>85</v>
      </c>
      <c r="C20" s="9" t="s">
        <v>100</v>
      </c>
      <c r="D20" s="9" t="s">
        <v>98</v>
      </c>
      <c r="E20" s="21" t="s">
        <v>101</v>
      </c>
      <c r="F20" s="22" t="n">
        <v>1000</v>
      </c>
      <c r="G20" s="22" t="n">
        <v>940.9</v>
      </c>
      <c r="H20" s="10" t="n">
        <v>1200</v>
      </c>
      <c r="I20" s="23"/>
      <c r="J20" s="10" t="str">
        <f aca="false">IF(I20="","",I20-G20)</f>
        <v/>
      </c>
      <c r="K20" s="12" t="str">
        <f aca="false">IF(OR(I20="",I20=0),"",J20/I20)</f>
        <v/>
      </c>
      <c r="L20" s="24" t="str">
        <f aca="false">IF(I20="","Set price",IF(I20&lt;G20,"LOSS",IF(I20=G20,"Break-even","OK")))</f>
        <v>Set price</v>
      </c>
      <c r="M20" s="10" t="n">
        <f aca="false">IF(F20="",CEILING(G20*(1+Settings!$B$4),5),MIN(F20,CEILING(G20*(1+Settings!$B$4),5)))</f>
        <v>990</v>
      </c>
      <c r="N20" s="12" t="n">
        <f aca="false">IF(F20="","",1-G20/F20)</f>
        <v>0.0591</v>
      </c>
    </row>
    <row r="21" customFormat="false" ht="15" hidden="false" customHeight="false" outlineLevel="0" collapsed="false">
      <c r="A21" s="8" t="s">
        <v>32</v>
      </c>
      <c r="B21" s="9" t="s">
        <v>102</v>
      </c>
      <c r="C21" s="9" t="s">
        <v>103</v>
      </c>
      <c r="D21" s="9" t="s">
        <v>66</v>
      </c>
      <c r="E21" s="21" t="s">
        <v>104</v>
      </c>
      <c r="F21" s="22" t="n">
        <v>500</v>
      </c>
      <c r="G21" s="22" t="n">
        <v>470.45</v>
      </c>
      <c r="H21" s="10" t="n">
        <v>500</v>
      </c>
      <c r="I21" s="23"/>
      <c r="J21" s="10" t="str">
        <f aca="false">IF(I21="","",I21-G21)</f>
        <v/>
      </c>
      <c r="K21" s="12" t="str">
        <f aca="false">IF(OR(I21="",I21=0),"",J21/I21)</f>
        <v/>
      </c>
      <c r="L21" s="24" t="str">
        <f aca="false">IF(I21="","Set price",IF(I21&lt;G21,"LOSS",IF(I21=G21,"Break-even","OK")))</f>
        <v>Set price</v>
      </c>
      <c r="M21" s="10" t="n">
        <f aca="false">IF(F21="",CEILING(G21*(1+Settings!$B$4),5),MIN(F21,CEILING(G21*(1+Settings!$B$4),5)))</f>
        <v>495</v>
      </c>
      <c r="N21" s="12" t="n">
        <f aca="false">IF(F21="","",1-G21/F21)</f>
        <v>0.0591</v>
      </c>
    </row>
    <row r="22" customFormat="false" ht="15" hidden="false" customHeight="false" outlineLevel="0" collapsed="false">
      <c r="A22" s="8" t="s">
        <v>32</v>
      </c>
      <c r="B22" s="9" t="s">
        <v>102</v>
      </c>
      <c r="C22" s="9" t="s">
        <v>105</v>
      </c>
      <c r="D22" s="9" t="s">
        <v>66</v>
      </c>
      <c r="E22" s="21" t="s">
        <v>106</v>
      </c>
      <c r="F22" s="22" t="n">
        <v>800</v>
      </c>
      <c r="G22" s="22" t="n">
        <v>752.72</v>
      </c>
      <c r="H22" s="10" t="n">
        <v>800</v>
      </c>
      <c r="I22" s="23"/>
      <c r="J22" s="10" t="str">
        <f aca="false">IF(I22="","",I22-G22)</f>
        <v/>
      </c>
      <c r="K22" s="12" t="str">
        <f aca="false">IF(OR(I22="",I22=0),"",J22/I22)</f>
        <v/>
      </c>
      <c r="L22" s="24" t="str">
        <f aca="false">IF(I22="","Set price",IF(I22&lt;G22,"LOSS",IF(I22=G22,"Break-even","OK")))</f>
        <v>Set price</v>
      </c>
      <c r="M22" s="10" t="n">
        <f aca="false">IF(F22="",CEILING(G22*(1+Settings!$B$4),5),MIN(F22,CEILING(G22*(1+Settings!$B$4),5)))</f>
        <v>795</v>
      </c>
      <c r="N22" s="12" t="n">
        <f aca="false">IF(F22="","",1-G22/F22)</f>
        <v>0.0590999999999999</v>
      </c>
    </row>
    <row r="23" customFormat="false" ht="15" hidden="false" customHeight="false" outlineLevel="0" collapsed="false">
      <c r="A23" s="8" t="s">
        <v>32</v>
      </c>
      <c r="B23" s="9" t="s">
        <v>102</v>
      </c>
      <c r="C23" s="9" t="s">
        <v>107</v>
      </c>
      <c r="D23" s="9" t="s">
        <v>66</v>
      </c>
      <c r="E23" s="21" t="s">
        <v>108</v>
      </c>
      <c r="F23" s="22" t="n">
        <v>1000</v>
      </c>
      <c r="G23" s="22" t="n">
        <v>940.9</v>
      </c>
      <c r="H23" s="10" t="n">
        <v>1000</v>
      </c>
      <c r="I23" s="23"/>
      <c r="J23" s="10" t="str">
        <f aca="false">IF(I23="","",I23-G23)</f>
        <v/>
      </c>
      <c r="K23" s="12" t="str">
        <f aca="false">IF(OR(I23="",I23=0),"",J23/I23)</f>
        <v/>
      </c>
      <c r="L23" s="24" t="str">
        <f aca="false">IF(I23="","Set price",IF(I23&lt;G23,"LOSS",IF(I23=G23,"Break-even","OK")))</f>
        <v>Set price</v>
      </c>
      <c r="M23" s="10" t="n">
        <f aca="false">IF(F23="",CEILING(G23*(1+Settings!$B$4),5),MIN(F23,CEILING(G23*(1+Settings!$B$4),5)))</f>
        <v>990</v>
      </c>
      <c r="N23" s="12" t="n">
        <f aca="false">IF(F23="","",1-G23/F23)</f>
        <v>0.0591</v>
      </c>
    </row>
    <row r="24" customFormat="false" ht="15" hidden="false" customHeight="false" outlineLevel="0" collapsed="false">
      <c r="A24" s="8" t="s">
        <v>32</v>
      </c>
      <c r="B24" s="9" t="s">
        <v>102</v>
      </c>
      <c r="C24" s="9" t="s">
        <v>109</v>
      </c>
      <c r="D24" s="9" t="s">
        <v>66</v>
      </c>
      <c r="E24" s="21" t="s">
        <v>110</v>
      </c>
      <c r="F24" s="22" t="n">
        <v>1500</v>
      </c>
      <c r="G24" s="22" t="n">
        <v>1411.35</v>
      </c>
      <c r="H24" s="10" t="n">
        <v>1500</v>
      </c>
      <c r="I24" s="23"/>
      <c r="J24" s="10" t="str">
        <f aca="false">IF(I24="","",I24-G24)</f>
        <v/>
      </c>
      <c r="K24" s="12" t="str">
        <f aca="false">IF(OR(I24="",I24=0),"",J24/I24)</f>
        <v/>
      </c>
      <c r="L24" s="24" t="str">
        <f aca="false">IF(I24="","Set price",IF(I24&lt;G24,"LOSS",IF(I24=G24,"Break-even","OK")))</f>
        <v>Set price</v>
      </c>
      <c r="M24" s="10" t="n">
        <f aca="false">IF(F24="",CEILING(G24*(1+Settings!$B$4),5),MIN(F24,CEILING(G24*(1+Settings!$B$4),5)))</f>
        <v>1485</v>
      </c>
      <c r="N24" s="12" t="n">
        <f aca="false">IF(F24="","",1-G24/F24)</f>
        <v>0.0591</v>
      </c>
    </row>
    <row r="25" customFormat="false" ht="15" hidden="false" customHeight="false" outlineLevel="0" collapsed="false">
      <c r="A25" s="8" t="s">
        <v>32</v>
      </c>
      <c r="B25" s="9" t="s">
        <v>102</v>
      </c>
      <c r="C25" s="9" t="s">
        <v>111</v>
      </c>
      <c r="D25" s="9" t="s">
        <v>66</v>
      </c>
      <c r="E25" s="21" t="s">
        <v>112</v>
      </c>
      <c r="F25" s="22" t="n">
        <v>2500</v>
      </c>
      <c r="G25" s="22" t="n">
        <v>2352.25</v>
      </c>
      <c r="H25" s="10" t="n">
        <v>2500</v>
      </c>
      <c r="I25" s="23"/>
      <c r="J25" s="10" t="str">
        <f aca="false">IF(I25="","",I25-G25)</f>
        <v/>
      </c>
      <c r="K25" s="12" t="str">
        <f aca="false">IF(OR(I25="",I25=0),"",J25/I25)</f>
        <v/>
      </c>
      <c r="L25" s="24" t="str">
        <f aca="false">IF(I25="","Set price",IF(I25&lt;G25,"LOSS",IF(I25=G25,"Break-even","OK")))</f>
        <v>Set price</v>
      </c>
      <c r="M25" s="10" t="n">
        <f aca="false">IF(F25="",CEILING(G25*(1+Settings!$B$4),5),MIN(F25,CEILING(G25*(1+Settings!$B$4),5)))</f>
        <v>2470</v>
      </c>
      <c r="N25" s="12" t="n">
        <f aca="false">IF(F25="","",1-G25/F25)</f>
        <v>0.0591</v>
      </c>
    </row>
    <row r="26" customFormat="false" ht="15" hidden="false" customHeight="false" outlineLevel="0" collapsed="false">
      <c r="A26" s="8" t="s">
        <v>32</v>
      </c>
      <c r="B26" s="9" t="s">
        <v>102</v>
      </c>
      <c r="C26" s="9" t="s">
        <v>113</v>
      </c>
      <c r="D26" s="9" t="s">
        <v>66</v>
      </c>
      <c r="E26" s="21" t="s">
        <v>114</v>
      </c>
      <c r="F26" s="22" t="n">
        <v>3500</v>
      </c>
      <c r="G26" s="22" t="n">
        <v>3293.15</v>
      </c>
      <c r="H26" s="10" t="n">
        <v>3500</v>
      </c>
      <c r="I26" s="23"/>
      <c r="J26" s="10" t="str">
        <f aca="false">IF(I26="","",I26-G26)</f>
        <v/>
      </c>
      <c r="K26" s="12" t="str">
        <f aca="false">IF(OR(I26="",I26=0),"",J26/I26)</f>
        <v/>
      </c>
      <c r="L26" s="24" t="str">
        <f aca="false">IF(I26="","Set price",IF(I26&lt;G26,"LOSS",IF(I26=G26,"Break-even","OK")))</f>
        <v>Set price</v>
      </c>
      <c r="M26" s="10" t="n">
        <f aca="false">IF(F26="",CEILING(G26*(1+Settings!$B$4),5),MIN(F26,CEILING(G26*(1+Settings!$B$4),5)))</f>
        <v>3460</v>
      </c>
      <c r="N26" s="12" t="n">
        <f aca="false">IF(F26="","",1-G26/F26)</f>
        <v>0.0590999999999999</v>
      </c>
    </row>
    <row r="27" customFormat="false" ht="15" hidden="false" customHeight="false" outlineLevel="0" collapsed="false">
      <c r="A27" s="8" t="s">
        <v>32</v>
      </c>
      <c r="B27" s="9" t="s">
        <v>102</v>
      </c>
      <c r="C27" s="9" t="s">
        <v>115</v>
      </c>
      <c r="D27" s="9" t="s">
        <v>69</v>
      </c>
      <c r="E27" s="21" t="s">
        <v>116</v>
      </c>
      <c r="F27" s="22" t="n">
        <v>1500</v>
      </c>
      <c r="G27" s="22" t="n">
        <v>1411.35</v>
      </c>
      <c r="H27" s="10" t="n">
        <v>1600</v>
      </c>
      <c r="I27" s="23"/>
      <c r="J27" s="10" t="str">
        <f aca="false">IF(I27="","",I27-G27)</f>
        <v/>
      </c>
      <c r="K27" s="12" t="str">
        <f aca="false">IF(OR(I27="",I27=0),"",J27/I27)</f>
        <v/>
      </c>
      <c r="L27" s="24" t="str">
        <f aca="false">IF(I27="","Set price",IF(I27&lt;G27,"LOSS",IF(I27=G27,"Break-even","OK")))</f>
        <v>Set price</v>
      </c>
      <c r="M27" s="10" t="n">
        <f aca="false">IF(F27="",CEILING(G27*(1+Settings!$B$4),5),MIN(F27,CEILING(G27*(1+Settings!$B$4),5)))</f>
        <v>1485</v>
      </c>
      <c r="N27" s="12" t="n">
        <f aca="false">IF(F27="","",1-G27/F27)</f>
        <v>0.0591</v>
      </c>
    </row>
    <row r="28" customFormat="false" ht="15" hidden="false" customHeight="false" outlineLevel="0" collapsed="false">
      <c r="A28" s="8" t="s">
        <v>32</v>
      </c>
      <c r="B28" s="9" t="s">
        <v>102</v>
      </c>
      <c r="C28" s="9" t="s">
        <v>117</v>
      </c>
      <c r="D28" s="9" t="s">
        <v>69</v>
      </c>
      <c r="E28" s="21" t="s">
        <v>118</v>
      </c>
      <c r="F28" s="22" t="n">
        <v>2000</v>
      </c>
      <c r="G28" s="22" t="n">
        <v>1881.8</v>
      </c>
      <c r="H28" s="10" t="n">
        <v>2050</v>
      </c>
      <c r="I28" s="23"/>
      <c r="J28" s="10" t="str">
        <f aca="false">IF(I28="","",I28-G28)</f>
        <v/>
      </c>
      <c r="K28" s="12" t="str">
        <f aca="false">IF(OR(I28="",I28=0),"",J28/I28)</f>
        <v/>
      </c>
      <c r="L28" s="24" t="str">
        <f aca="false">IF(I28="","Set price",IF(I28&lt;G28,"LOSS",IF(I28=G28,"Break-even","OK")))</f>
        <v>Set price</v>
      </c>
      <c r="M28" s="10" t="n">
        <f aca="false">IF(F28="",CEILING(G28*(1+Settings!$B$4),5),MIN(F28,CEILING(G28*(1+Settings!$B$4),5)))</f>
        <v>1980</v>
      </c>
      <c r="N28" s="12" t="n">
        <f aca="false">IF(F28="","",1-G28/F28)</f>
        <v>0.0591</v>
      </c>
    </row>
    <row r="29" customFormat="false" ht="15" hidden="false" customHeight="false" outlineLevel="0" collapsed="false">
      <c r="A29" s="8" t="s">
        <v>32</v>
      </c>
      <c r="B29" s="9" t="s">
        <v>102</v>
      </c>
      <c r="C29" s="9" t="s">
        <v>119</v>
      </c>
      <c r="D29" s="9" t="s">
        <v>69</v>
      </c>
      <c r="E29" s="21" t="s">
        <v>120</v>
      </c>
      <c r="F29" s="22" t="n">
        <v>2500</v>
      </c>
      <c r="G29" s="22" t="n">
        <v>2352.25</v>
      </c>
      <c r="H29" s="10" t="n">
        <v>2550</v>
      </c>
      <c r="I29" s="23"/>
      <c r="J29" s="10" t="str">
        <f aca="false">IF(I29="","",I29-G29)</f>
        <v/>
      </c>
      <c r="K29" s="12" t="str">
        <f aca="false">IF(OR(I29="",I29=0),"",J29/I29)</f>
        <v/>
      </c>
      <c r="L29" s="24" t="str">
        <f aca="false">IF(I29="","Set price",IF(I29&lt;G29,"LOSS",IF(I29=G29,"Break-even","OK")))</f>
        <v>Set price</v>
      </c>
      <c r="M29" s="10" t="n">
        <f aca="false">IF(F29="",CEILING(G29*(1+Settings!$B$4),5),MIN(F29,CEILING(G29*(1+Settings!$B$4),5)))</f>
        <v>2470</v>
      </c>
      <c r="N29" s="12" t="n">
        <f aca="false">IF(F29="","",1-G29/F29)</f>
        <v>0.0591</v>
      </c>
    </row>
    <row r="30" customFormat="false" ht="15" hidden="false" customHeight="false" outlineLevel="0" collapsed="false">
      <c r="A30" s="8" t="s">
        <v>32</v>
      </c>
      <c r="B30" s="9" t="s">
        <v>102</v>
      </c>
      <c r="C30" s="9" t="s">
        <v>121</v>
      </c>
      <c r="D30" s="9" t="s">
        <v>69</v>
      </c>
      <c r="E30" s="21" t="s">
        <v>122</v>
      </c>
      <c r="F30" s="22" t="n">
        <v>3500</v>
      </c>
      <c r="G30" s="22" t="n">
        <v>3293.15</v>
      </c>
      <c r="H30" s="10" t="n">
        <v>3500</v>
      </c>
      <c r="I30" s="23"/>
      <c r="J30" s="10" t="str">
        <f aca="false">IF(I30="","",I30-G30)</f>
        <v/>
      </c>
      <c r="K30" s="12" t="str">
        <f aca="false">IF(OR(I30="",I30=0),"",J30/I30)</f>
        <v/>
      </c>
      <c r="L30" s="24" t="str">
        <f aca="false">IF(I30="","Set price",IF(I30&lt;G30,"LOSS",IF(I30=G30,"Break-even","OK")))</f>
        <v>Set price</v>
      </c>
      <c r="M30" s="10" t="n">
        <f aca="false">IF(F30="",CEILING(G30*(1+Settings!$B$4),5),MIN(F30,CEILING(G30*(1+Settings!$B$4),5)))</f>
        <v>3460</v>
      </c>
      <c r="N30" s="12" t="n">
        <f aca="false">IF(F30="","",1-G30/F30)</f>
        <v>0.0590999999999999</v>
      </c>
    </row>
    <row r="31" customFormat="false" ht="15" hidden="false" customHeight="false" outlineLevel="0" collapsed="false">
      <c r="A31" s="8" t="s">
        <v>32</v>
      </c>
      <c r="B31" s="9" t="s">
        <v>102</v>
      </c>
      <c r="C31" s="9" t="s">
        <v>123</v>
      </c>
      <c r="D31" s="9" t="s">
        <v>69</v>
      </c>
      <c r="E31" s="21" t="s">
        <v>124</v>
      </c>
      <c r="F31" s="22" t="n">
        <v>4500</v>
      </c>
      <c r="G31" s="22" t="n">
        <v>4234.05</v>
      </c>
      <c r="H31" s="10" t="n">
        <v>4500</v>
      </c>
      <c r="I31" s="23"/>
      <c r="J31" s="10" t="str">
        <f aca="false">IF(I31="","",I31-G31)</f>
        <v/>
      </c>
      <c r="K31" s="12" t="str">
        <f aca="false">IF(OR(I31="",I31=0),"",J31/I31)</f>
        <v/>
      </c>
      <c r="L31" s="24" t="str">
        <f aca="false">IF(I31="","Set price",IF(I31&lt;G31,"LOSS",IF(I31=G31,"Break-even","OK")))</f>
        <v>Set price</v>
      </c>
      <c r="M31" s="10" t="n">
        <f aca="false">IF(F31="",CEILING(G31*(1+Settings!$B$4),5),MIN(F31,CEILING(G31*(1+Settings!$B$4),5)))</f>
        <v>4450</v>
      </c>
      <c r="N31" s="12" t="n">
        <f aca="false">IF(F31="","",1-G31/F31)</f>
        <v>0.0590999999999999</v>
      </c>
    </row>
    <row r="32" customFormat="false" ht="15" hidden="false" customHeight="false" outlineLevel="0" collapsed="false">
      <c r="A32" s="8" t="s">
        <v>32</v>
      </c>
      <c r="B32" s="9" t="s">
        <v>102</v>
      </c>
      <c r="C32" s="9" t="s">
        <v>125</v>
      </c>
      <c r="D32" s="9" t="s">
        <v>69</v>
      </c>
      <c r="E32" s="21" t="s">
        <v>126</v>
      </c>
      <c r="F32" s="22" t="n">
        <v>5500</v>
      </c>
      <c r="G32" s="22" t="n">
        <v>5174.95</v>
      </c>
      <c r="H32" s="10" t="n">
        <v>5500</v>
      </c>
      <c r="I32" s="23"/>
      <c r="J32" s="10" t="str">
        <f aca="false">IF(I32="","",I32-G32)</f>
        <v/>
      </c>
      <c r="K32" s="12" t="str">
        <f aca="false">IF(OR(I32="",I32=0),"",J32/I32)</f>
        <v/>
      </c>
      <c r="L32" s="24" t="str">
        <f aca="false">IF(I32="","Set price",IF(I32&lt;G32,"LOSS",IF(I32=G32,"Break-even","OK")))</f>
        <v>Set price</v>
      </c>
      <c r="M32" s="10" t="n">
        <f aca="false">IF(F32="",CEILING(G32*(1+Settings!$B$4),5),MIN(F32,CEILING(G32*(1+Settings!$B$4),5)))</f>
        <v>5435</v>
      </c>
      <c r="N32" s="12" t="n">
        <f aca="false">IF(F32="","",1-G32/F32)</f>
        <v>0.0591</v>
      </c>
    </row>
    <row r="33" customFormat="false" ht="15" hidden="false" customHeight="false" outlineLevel="0" collapsed="false">
      <c r="A33" s="8" t="s">
        <v>32</v>
      </c>
      <c r="B33" s="9" t="s">
        <v>102</v>
      </c>
      <c r="C33" s="9" t="s">
        <v>127</v>
      </c>
      <c r="D33" s="9" t="s">
        <v>69</v>
      </c>
      <c r="E33" s="21" t="s">
        <v>128</v>
      </c>
      <c r="F33" s="22" t="n">
        <v>6500</v>
      </c>
      <c r="G33" s="22" t="n">
        <v>6115.85</v>
      </c>
      <c r="H33" s="10" t="n">
        <v>6500</v>
      </c>
      <c r="I33" s="23"/>
      <c r="J33" s="10" t="str">
        <f aca="false">IF(I33="","",I33-G33)</f>
        <v/>
      </c>
      <c r="K33" s="12" t="str">
        <f aca="false">IF(OR(I33="",I33=0),"",J33/I33)</f>
        <v/>
      </c>
      <c r="L33" s="24" t="str">
        <f aca="false">IF(I33="","Set price",IF(I33&lt;G33,"LOSS",IF(I33=G33,"Break-even","OK")))</f>
        <v>Set price</v>
      </c>
      <c r="M33" s="10" t="n">
        <f aca="false">IF(F33="",CEILING(G33*(1+Settings!$B$4),5),MIN(F33,CEILING(G33*(1+Settings!$B$4),5)))</f>
        <v>6425</v>
      </c>
      <c r="N33" s="12" t="n">
        <f aca="false">IF(F33="","",1-G33/F33)</f>
        <v>0.0590999999999999</v>
      </c>
    </row>
    <row r="34" customFormat="false" ht="15" hidden="false" customHeight="false" outlineLevel="0" collapsed="false">
      <c r="A34" s="8" t="s">
        <v>32</v>
      </c>
      <c r="B34" s="9" t="s">
        <v>102</v>
      </c>
      <c r="C34" s="9" t="s">
        <v>129</v>
      </c>
      <c r="D34" s="9" t="s">
        <v>69</v>
      </c>
      <c r="E34" s="21" t="s">
        <v>130</v>
      </c>
      <c r="F34" s="22" t="n">
        <v>7500</v>
      </c>
      <c r="G34" s="22" t="n">
        <v>7056.75</v>
      </c>
      <c r="H34" s="10" t="n">
        <v>7500</v>
      </c>
      <c r="I34" s="23"/>
      <c r="J34" s="10" t="str">
        <f aca="false">IF(I34="","",I34-G34)</f>
        <v/>
      </c>
      <c r="K34" s="12" t="str">
        <f aca="false">IF(OR(I34="",I34=0),"",J34/I34)</f>
        <v/>
      </c>
      <c r="L34" s="24" t="str">
        <f aca="false">IF(I34="","Set price",IF(I34&lt;G34,"LOSS",IF(I34=G34,"Break-even","OK")))</f>
        <v>Set price</v>
      </c>
      <c r="M34" s="10" t="n">
        <f aca="false">IF(F34="",CEILING(G34*(1+Settings!$B$4),5),MIN(F34,CEILING(G34*(1+Settings!$B$4),5)))</f>
        <v>7410</v>
      </c>
      <c r="N34" s="12" t="n">
        <f aca="false">IF(F34="","",1-G34/F34)</f>
        <v>0.0591</v>
      </c>
    </row>
    <row r="35" customFormat="false" ht="15" hidden="false" customHeight="false" outlineLevel="0" collapsed="false">
      <c r="A35" s="8" t="s">
        <v>32</v>
      </c>
      <c r="B35" s="9" t="s">
        <v>102</v>
      </c>
      <c r="C35" s="9" t="s">
        <v>131</v>
      </c>
      <c r="D35" s="9" t="s">
        <v>69</v>
      </c>
      <c r="E35" s="21" t="s">
        <v>132</v>
      </c>
      <c r="F35" s="22" t="n">
        <v>9000</v>
      </c>
      <c r="G35" s="22" t="n">
        <v>8468.1</v>
      </c>
      <c r="H35" s="10" t="n">
        <v>9000</v>
      </c>
      <c r="I35" s="23"/>
      <c r="J35" s="10" t="str">
        <f aca="false">IF(I35="","",I35-G35)</f>
        <v/>
      </c>
      <c r="K35" s="12" t="str">
        <f aca="false">IF(OR(I35="",I35=0),"",J35/I35)</f>
        <v/>
      </c>
      <c r="L35" s="24" t="str">
        <f aca="false">IF(I35="","Set price",IF(I35&lt;G35,"LOSS",IF(I35=G35,"Break-even","OK")))</f>
        <v>Set price</v>
      </c>
      <c r="M35" s="10" t="n">
        <f aca="false">IF(F35="",CEILING(G35*(1+Settings!$B$4),5),MIN(F35,CEILING(G35*(1+Settings!$B$4),5)))</f>
        <v>8895</v>
      </c>
      <c r="N35" s="12" t="n">
        <f aca="false">IF(F35="","",1-G35/F35)</f>
        <v>0.0590999999999999</v>
      </c>
    </row>
    <row r="36" customFormat="false" ht="15" hidden="false" customHeight="false" outlineLevel="0" collapsed="false">
      <c r="A36" s="8" t="s">
        <v>32</v>
      </c>
      <c r="B36" s="9" t="s">
        <v>102</v>
      </c>
      <c r="C36" s="9" t="s">
        <v>133</v>
      </c>
      <c r="D36" s="9" t="s">
        <v>69</v>
      </c>
      <c r="E36" s="21" t="s">
        <v>134</v>
      </c>
      <c r="F36" s="22" t="n">
        <v>11000</v>
      </c>
      <c r="G36" s="22" t="n">
        <v>10349.9</v>
      </c>
      <c r="H36" s="10" t="n">
        <v>11000</v>
      </c>
      <c r="I36" s="23"/>
      <c r="J36" s="10" t="str">
        <f aca="false">IF(I36="","",I36-G36)</f>
        <v/>
      </c>
      <c r="K36" s="12" t="str">
        <f aca="false">IF(OR(I36="",I36=0),"",J36/I36)</f>
        <v/>
      </c>
      <c r="L36" s="24" t="str">
        <f aca="false">IF(I36="","Set price",IF(I36&lt;G36,"LOSS",IF(I36=G36,"Break-even","OK")))</f>
        <v>Set price</v>
      </c>
      <c r="M36" s="10" t="n">
        <f aca="false">IF(F36="",CEILING(G36*(1+Settings!$B$4),5),MIN(F36,CEILING(G36*(1+Settings!$B$4),5)))</f>
        <v>10870</v>
      </c>
      <c r="N36" s="12" t="n">
        <f aca="false">IF(F36="","",1-G36/F36)</f>
        <v>0.0591</v>
      </c>
    </row>
    <row r="37" customFormat="false" ht="15" hidden="false" customHeight="false" outlineLevel="0" collapsed="false">
      <c r="A37" s="8" t="s">
        <v>32</v>
      </c>
      <c r="B37" s="9" t="s">
        <v>102</v>
      </c>
      <c r="C37" s="9" t="s">
        <v>135</v>
      </c>
      <c r="D37" s="9" t="s">
        <v>69</v>
      </c>
      <c r="E37" s="21" t="s">
        <v>136</v>
      </c>
      <c r="F37" s="22" t="n">
        <v>18000</v>
      </c>
      <c r="G37" s="22" t="n">
        <v>16936.2</v>
      </c>
      <c r="H37" s="10" t="n">
        <v>18000</v>
      </c>
      <c r="I37" s="23"/>
      <c r="J37" s="10" t="str">
        <f aca="false">IF(I37="","",I37-G37)</f>
        <v/>
      </c>
      <c r="K37" s="12" t="str">
        <f aca="false">IF(OR(I37="",I37=0),"",J37/I37)</f>
        <v/>
      </c>
      <c r="L37" s="24" t="str">
        <f aca="false">IF(I37="","Set price",IF(I37&lt;G37,"LOSS",IF(I37=G37,"Break-even","OK")))</f>
        <v>Set price</v>
      </c>
      <c r="M37" s="10" t="n">
        <f aca="false">IF(F37="",CEILING(G37*(1+Settings!$B$4),5),MIN(F37,CEILING(G37*(1+Settings!$B$4),5)))</f>
        <v>17785</v>
      </c>
      <c r="N37" s="12" t="n">
        <f aca="false">IF(F37="","",1-G37/F37)</f>
        <v>0.0590999999999999</v>
      </c>
    </row>
    <row r="38" customFormat="false" ht="15" hidden="false" customHeight="false" outlineLevel="0" collapsed="false">
      <c r="A38" s="8" t="s">
        <v>32</v>
      </c>
      <c r="B38" s="9" t="s">
        <v>102</v>
      </c>
      <c r="C38" s="9" t="s">
        <v>137</v>
      </c>
      <c r="D38" s="9" t="s">
        <v>69</v>
      </c>
      <c r="E38" s="21" t="s">
        <v>138</v>
      </c>
      <c r="F38" s="22" t="n">
        <v>35000</v>
      </c>
      <c r="G38" s="22" t="n">
        <v>32931.5</v>
      </c>
      <c r="H38" s="10" t="n">
        <v>35000</v>
      </c>
      <c r="I38" s="23"/>
      <c r="J38" s="10" t="str">
        <f aca="false">IF(I38="","",I38-G38)</f>
        <v/>
      </c>
      <c r="K38" s="12" t="str">
        <f aca="false">IF(OR(I38="",I38=0),"",J38/I38)</f>
        <v/>
      </c>
      <c r="L38" s="24" t="str">
        <f aca="false">IF(I38="","Set price",IF(I38&lt;G38,"LOSS",IF(I38=G38,"Break-even","OK")))</f>
        <v>Set price</v>
      </c>
      <c r="M38" s="10" t="n">
        <f aca="false">IF(F38="",CEILING(G38*(1+Settings!$B$4),5),MIN(F38,CEILING(G38*(1+Settings!$B$4),5)))</f>
        <v>34580</v>
      </c>
      <c r="N38" s="12" t="n">
        <f aca="false">IF(F38="","",1-G38/F38)</f>
        <v>0.0591</v>
      </c>
    </row>
    <row r="39" customFormat="false" ht="15" hidden="false" customHeight="false" outlineLevel="0" collapsed="false">
      <c r="A39" s="8" t="s">
        <v>32</v>
      </c>
      <c r="B39" s="9" t="s">
        <v>102</v>
      </c>
      <c r="C39" s="9" t="s">
        <v>139</v>
      </c>
      <c r="D39" s="9" t="s">
        <v>140</v>
      </c>
      <c r="E39" s="21" t="s">
        <v>141</v>
      </c>
      <c r="F39" s="22" t="n">
        <v>40000</v>
      </c>
      <c r="G39" s="22" t="n">
        <v>37636</v>
      </c>
      <c r="H39" s="10" t="n">
        <v>40000</v>
      </c>
      <c r="I39" s="23"/>
      <c r="J39" s="10" t="str">
        <f aca="false">IF(I39="","",I39-G39)</f>
        <v/>
      </c>
      <c r="K39" s="12" t="str">
        <f aca="false">IF(OR(I39="",I39=0),"",J39/I39)</f>
        <v/>
      </c>
      <c r="L39" s="24" t="str">
        <f aca="false">IF(I39="","Set price",IF(I39&lt;G39,"LOSS",IF(I39=G39,"Break-even","OK")))</f>
        <v>Set price</v>
      </c>
      <c r="M39" s="10" t="n">
        <f aca="false">IF(F39="",CEILING(G39*(1+Settings!$B$4),5),MIN(F39,CEILING(G39*(1+Settings!$B$4),5)))</f>
        <v>39520</v>
      </c>
      <c r="N39" s="12" t="n">
        <f aca="false">IF(F39="","",1-G39/F39)</f>
        <v>0.0591</v>
      </c>
    </row>
    <row r="40" customFormat="false" ht="15" hidden="false" customHeight="false" outlineLevel="0" collapsed="false">
      <c r="A40" s="8" t="s">
        <v>32</v>
      </c>
      <c r="B40" s="9" t="s">
        <v>102</v>
      </c>
      <c r="C40" s="9" t="s">
        <v>142</v>
      </c>
      <c r="D40" s="9" t="s">
        <v>66</v>
      </c>
      <c r="E40" s="21" t="s">
        <v>143</v>
      </c>
      <c r="F40" s="22" t="n">
        <v>5000</v>
      </c>
      <c r="G40" s="22" t="n">
        <v>4704.5</v>
      </c>
      <c r="H40" s="10" t="n">
        <v>5000</v>
      </c>
      <c r="I40" s="23"/>
      <c r="J40" s="10" t="str">
        <f aca="false">IF(I40="","",I40-G40)</f>
        <v/>
      </c>
      <c r="K40" s="12" t="str">
        <f aca="false">IF(OR(I40="",I40=0),"",J40/I40)</f>
        <v/>
      </c>
      <c r="L40" s="24" t="str">
        <f aca="false">IF(I40="","Set price",IF(I40&lt;G40,"LOSS",IF(I40=G40,"Break-even","OK")))</f>
        <v>Set price</v>
      </c>
      <c r="M40" s="10" t="n">
        <f aca="false">IF(F40="",CEILING(G40*(1+Settings!$B$4),5),MIN(F40,CEILING(G40*(1+Settings!$B$4),5)))</f>
        <v>4940</v>
      </c>
      <c r="N40" s="12" t="n">
        <f aca="false">IF(F40="","",1-G40/F40)</f>
        <v>0.0591</v>
      </c>
    </row>
    <row r="41" customFormat="false" ht="15" hidden="false" customHeight="false" outlineLevel="0" collapsed="false">
      <c r="A41" s="8" t="s">
        <v>32</v>
      </c>
      <c r="B41" s="9" t="s">
        <v>102</v>
      </c>
      <c r="C41" s="9" t="s">
        <v>144</v>
      </c>
      <c r="D41" s="9" t="s">
        <v>145</v>
      </c>
      <c r="E41" s="21" t="s">
        <v>146</v>
      </c>
      <c r="F41" s="22" t="n">
        <v>90000</v>
      </c>
      <c r="G41" s="22" t="n">
        <v>84681</v>
      </c>
      <c r="H41" s="10" t="n">
        <v>90000</v>
      </c>
      <c r="I41" s="23"/>
      <c r="J41" s="10" t="str">
        <f aca="false">IF(I41="","",I41-G41)</f>
        <v/>
      </c>
      <c r="K41" s="12" t="str">
        <f aca="false">IF(OR(I41="",I41=0),"",J41/I41)</f>
        <v/>
      </c>
      <c r="L41" s="24" t="str">
        <f aca="false">IF(I41="","Set price",IF(I41&lt;G41,"LOSS",IF(I41=G41,"Break-even","OK")))</f>
        <v>Set price</v>
      </c>
      <c r="M41" s="10" t="n">
        <f aca="false">IF(F41="",CEILING(G41*(1+Settings!$B$4),5),MIN(F41,CEILING(G41*(1+Settings!$B$4),5)))</f>
        <v>88920</v>
      </c>
      <c r="N41" s="12" t="n">
        <f aca="false">IF(F41="","",1-G41/F41)</f>
        <v>0.0591</v>
      </c>
    </row>
    <row r="42" customFormat="false" ht="15" hidden="false" customHeight="false" outlineLevel="0" collapsed="false">
      <c r="A42" s="13" t="s">
        <v>33</v>
      </c>
      <c r="B42" s="9" t="s">
        <v>64</v>
      </c>
      <c r="C42" s="9" t="s">
        <v>147</v>
      </c>
      <c r="D42" s="9" t="s">
        <v>148</v>
      </c>
      <c r="E42" s="21" t="s">
        <v>149</v>
      </c>
      <c r="F42" s="22"/>
      <c r="G42" s="22" t="n">
        <v>94</v>
      </c>
      <c r="H42" s="10" t="n">
        <v>200</v>
      </c>
      <c r="I42" s="23"/>
      <c r="J42" s="10" t="str">
        <f aca="false">IF(I42="","",I42-G42)</f>
        <v/>
      </c>
      <c r="K42" s="12" t="str">
        <f aca="false">IF(OR(I42="",I42=0),"",J42/I42)</f>
        <v/>
      </c>
      <c r="L42" s="24" t="str">
        <f aca="false">IF(I42="","Set price",IF(I42&lt;G42,"LOSS",IF(I42=G42,"Break-even","OK")))</f>
        <v>Set price</v>
      </c>
      <c r="M42" s="10" t="n">
        <f aca="false">IF(F42="",CEILING(G42*(1+Settings!$B$4),5),MIN(F42,CEILING(G42*(1+Settings!$B$4),5)))</f>
        <v>100</v>
      </c>
      <c r="N42" s="12" t="str">
        <f aca="false">IF(F42="","",1-G42/F42)</f>
        <v/>
      </c>
    </row>
    <row r="43" customFormat="false" ht="15" hidden="false" customHeight="false" outlineLevel="0" collapsed="false">
      <c r="A43" s="13" t="s">
        <v>33</v>
      </c>
      <c r="B43" s="9" t="s">
        <v>64</v>
      </c>
      <c r="C43" s="9" t="s">
        <v>150</v>
      </c>
      <c r="D43" s="9" t="s">
        <v>66</v>
      </c>
      <c r="E43" s="21" t="s">
        <v>67</v>
      </c>
      <c r="F43" s="22"/>
      <c r="G43" s="22" t="n">
        <v>230</v>
      </c>
      <c r="H43" s="10" t="n">
        <v>250</v>
      </c>
      <c r="I43" s="23"/>
      <c r="J43" s="10" t="str">
        <f aca="false">IF(I43="","",I43-G43)</f>
        <v/>
      </c>
      <c r="K43" s="12" t="str">
        <f aca="false">IF(OR(I43="",I43=0),"",J43/I43)</f>
        <v/>
      </c>
      <c r="L43" s="24" t="str">
        <f aca="false">IF(I43="","Set price",IF(I43&lt;G43,"LOSS",IF(I43=G43,"Break-even","OK")))</f>
        <v>Set price</v>
      </c>
      <c r="M43" s="10" t="n">
        <f aca="false">IF(F43="",CEILING(G43*(1+Settings!$B$4),5),MIN(F43,CEILING(G43*(1+Settings!$B$4),5)))</f>
        <v>245</v>
      </c>
      <c r="N43" s="12" t="str">
        <f aca="false">IF(F43="","",1-G43/F43)</f>
        <v/>
      </c>
    </row>
    <row r="44" customFormat="false" ht="15" hidden="false" customHeight="false" outlineLevel="0" collapsed="false">
      <c r="A44" s="13" t="s">
        <v>33</v>
      </c>
      <c r="B44" s="9" t="s">
        <v>64</v>
      </c>
      <c r="C44" s="9" t="s">
        <v>151</v>
      </c>
      <c r="D44" s="9" t="s">
        <v>152</v>
      </c>
      <c r="E44" s="21" t="s">
        <v>153</v>
      </c>
      <c r="F44" s="22"/>
      <c r="G44" s="22" t="n">
        <v>392</v>
      </c>
      <c r="H44" s="10" t="n">
        <v>370</v>
      </c>
      <c r="I44" s="23"/>
      <c r="J44" s="10" t="str">
        <f aca="false">IF(I44="","",I44-G44)</f>
        <v/>
      </c>
      <c r="K44" s="12" t="str">
        <f aca="false">IF(OR(I44="",I44=0),"",J44/I44)</f>
        <v/>
      </c>
      <c r="L44" s="24" t="str">
        <f aca="false">IF(I44="","Set price",IF(I44&lt;G44,"LOSS",IF(I44=G44,"Break-even","OK")))</f>
        <v>Set price</v>
      </c>
      <c r="M44" s="10" t="n">
        <f aca="false">IF(F44="",CEILING(G44*(1+Settings!$B$4),5),MIN(F44,CEILING(G44*(1+Settings!$B$4),5)))</f>
        <v>415</v>
      </c>
      <c r="N44" s="12" t="str">
        <f aca="false">IF(F44="","",1-G44/F44)</f>
        <v/>
      </c>
    </row>
    <row r="45" customFormat="false" ht="15" hidden="false" customHeight="false" outlineLevel="0" collapsed="false">
      <c r="A45" s="13" t="s">
        <v>33</v>
      </c>
      <c r="B45" s="9" t="s">
        <v>64</v>
      </c>
      <c r="C45" s="9" t="s">
        <v>154</v>
      </c>
      <c r="D45" s="9" t="s">
        <v>152</v>
      </c>
      <c r="E45" s="21" t="s">
        <v>155</v>
      </c>
      <c r="F45" s="22"/>
      <c r="G45" s="22" t="n">
        <v>1176</v>
      </c>
      <c r="H45" s="10" t="n">
        <v>1095</v>
      </c>
      <c r="I45" s="23"/>
      <c r="J45" s="10" t="str">
        <f aca="false">IF(I45="","",I45-G45)</f>
        <v/>
      </c>
      <c r="K45" s="12" t="str">
        <f aca="false">IF(OR(I45="",I45=0),"",J45/I45)</f>
        <v/>
      </c>
      <c r="L45" s="24" t="str">
        <f aca="false">IF(I45="","Set price",IF(I45&lt;G45,"LOSS",IF(I45=G45,"Break-even","OK")))</f>
        <v>Set price</v>
      </c>
      <c r="M45" s="10" t="n">
        <f aca="false">IF(F45="",CEILING(G45*(1+Settings!$B$4),5),MIN(F45,CEILING(G45*(1+Settings!$B$4),5)))</f>
        <v>1235</v>
      </c>
      <c r="N45" s="12" t="str">
        <f aca="false">IF(F45="","",1-G45/F45)</f>
        <v/>
      </c>
    </row>
    <row r="46" customFormat="false" ht="15" hidden="false" customHeight="false" outlineLevel="0" collapsed="false">
      <c r="A46" s="13" t="s">
        <v>33</v>
      </c>
      <c r="B46" s="9" t="s">
        <v>64</v>
      </c>
      <c r="C46" s="9" t="s">
        <v>156</v>
      </c>
      <c r="D46" s="9" t="s">
        <v>152</v>
      </c>
      <c r="E46" s="21" t="s">
        <v>157</v>
      </c>
      <c r="F46" s="22"/>
      <c r="G46" s="22" t="n">
        <v>1960</v>
      </c>
      <c r="H46" s="10" t="n">
        <v>1800</v>
      </c>
      <c r="I46" s="23"/>
      <c r="J46" s="10" t="str">
        <f aca="false">IF(I46="","",I46-G46)</f>
        <v/>
      </c>
      <c r="K46" s="12" t="str">
        <f aca="false">IF(OR(I46="",I46=0),"",J46/I46)</f>
        <v/>
      </c>
      <c r="L46" s="24" t="str">
        <f aca="false">IF(I46="","Set price",IF(I46&lt;G46,"LOSS",IF(I46=G46,"Break-even","OK")))</f>
        <v>Set price</v>
      </c>
      <c r="M46" s="10" t="n">
        <f aca="false">IF(F46="",CEILING(G46*(1+Settings!$B$4),5),MIN(F46,CEILING(G46*(1+Settings!$B$4),5)))</f>
        <v>2060</v>
      </c>
      <c r="N46" s="12" t="str">
        <f aca="false">IF(F46="","",1-G46/F46)</f>
        <v/>
      </c>
    </row>
    <row r="47" customFormat="false" ht="15" hidden="false" customHeight="false" outlineLevel="0" collapsed="false">
      <c r="A47" s="13" t="s">
        <v>33</v>
      </c>
      <c r="B47" s="9" t="s">
        <v>64</v>
      </c>
      <c r="C47" s="9" t="s">
        <v>158</v>
      </c>
      <c r="D47" s="9" t="s">
        <v>66</v>
      </c>
      <c r="E47" s="21" t="s">
        <v>159</v>
      </c>
      <c r="F47" s="22"/>
      <c r="G47" s="22" t="n">
        <v>409</v>
      </c>
      <c r="H47" s="10" t="n">
        <v>400</v>
      </c>
      <c r="I47" s="23"/>
      <c r="J47" s="10" t="str">
        <f aca="false">IF(I47="","",I47-G47)</f>
        <v/>
      </c>
      <c r="K47" s="12" t="str">
        <f aca="false">IF(OR(I47="",I47=0),"",J47/I47)</f>
        <v/>
      </c>
      <c r="L47" s="24" t="str">
        <f aca="false">IF(I47="","Set price",IF(I47&lt;G47,"LOSS",IF(I47=G47,"Break-even","OK")))</f>
        <v>Set price</v>
      </c>
      <c r="M47" s="10" t="n">
        <f aca="false">IF(F47="",CEILING(G47*(1+Settings!$B$4),5),MIN(F47,CEILING(G47*(1+Settings!$B$4),5)))</f>
        <v>430</v>
      </c>
      <c r="N47" s="12" t="str">
        <f aca="false">IF(F47="","",1-G47/F47)</f>
        <v/>
      </c>
    </row>
    <row r="48" customFormat="false" ht="15" hidden="false" customHeight="false" outlineLevel="0" collapsed="false">
      <c r="A48" s="13" t="s">
        <v>33</v>
      </c>
      <c r="B48" s="9" t="s">
        <v>64</v>
      </c>
      <c r="C48" s="9" t="s">
        <v>160</v>
      </c>
      <c r="D48" s="9" t="s">
        <v>66</v>
      </c>
      <c r="E48" s="21" t="s">
        <v>161</v>
      </c>
      <c r="F48" s="22"/>
      <c r="G48" s="22" t="n">
        <v>1228</v>
      </c>
      <c r="H48" s="10" t="n">
        <v>1095</v>
      </c>
      <c r="I48" s="23"/>
      <c r="J48" s="10" t="str">
        <f aca="false">IF(I48="","",I48-G48)</f>
        <v/>
      </c>
      <c r="K48" s="12" t="str">
        <f aca="false">IF(OR(I48="",I48=0),"",J48/I48)</f>
        <v/>
      </c>
      <c r="L48" s="24" t="str">
        <f aca="false">IF(I48="","Set price",IF(I48&lt;G48,"LOSS",IF(I48=G48,"Break-even","OK")))</f>
        <v>Set price</v>
      </c>
      <c r="M48" s="10" t="n">
        <f aca="false">IF(F48="",CEILING(G48*(1+Settings!$B$4),5),MIN(F48,CEILING(G48*(1+Settings!$B$4),5)))</f>
        <v>1290</v>
      </c>
      <c r="N48" s="12" t="str">
        <f aca="false">IF(F48="","",1-G48/F48)</f>
        <v/>
      </c>
    </row>
    <row r="49" customFormat="false" ht="15" hidden="false" customHeight="false" outlineLevel="0" collapsed="false">
      <c r="A49" s="13" t="s">
        <v>33</v>
      </c>
      <c r="B49" s="9" t="s">
        <v>64</v>
      </c>
      <c r="C49" s="9" t="s">
        <v>162</v>
      </c>
      <c r="D49" s="9" t="s">
        <v>66</v>
      </c>
      <c r="E49" s="21" t="s">
        <v>163</v>
      </c>
      <c r="F49" s="22"/>
      <c r="G49" s="22" t="n">
        <v>2046</v>
      </c>
      <c r="H49" s="10" t="n">
        <v>1850</v>
      </c>
      <c r="I49" s="23"/>
      <c r="J49" s="10" t="str">
        <f aca="false">IF(I49="","",I49-G49)</f>
        <v/>
      </c>
      <c r="K49" s="12" t="str">
        <f aca="false">IF(OR(I49="",I49=0),"",J49/I49)</f>
        <v/>
      </c>
      <c r="L49" s="24" t="str">
        <f aca="false">IF(I49="","Set price",IF(I49&lt;G49,"LOSS",IF(I49=G49,"Break-even","OK")))</f>
        <v>Set price</v>
      </c>
      <c r="M49" s="10" t="n">
        <f aca="false">IF(F49="",CEILING(G49*(1+Settings!$B$4),5),MIN(F49,CEILING(G49*(1+Settings!$B$4),5)))</f>
        <v>2150</v>
      </c>
      <c r="N49" s="12" t="str">
        <f aca="false">IF(F49="","",1-G49/F49)</f>
        <v/>
      </c>
    </row>
    <row r="50" customFormat="false" ht="15" hidden="false" customHeight="false" outlineLevel="0" collapsed="false">
      <c r="A50" s="13" t="s">
        <v>33</v>
      </c>
      <c r="B50" s="9" t="s">
        <v>64</v>
      </c>
      <c r="C50" s="9" t="s">
        <v>164</v>
      </c>
      <c r="D50" s="9" t="s">
        <v>165</v>
      </c>
      <c r="E50" s="21" t="s">
        <v>166</v>
      </c>
      <c r="F50" s="22"/>
      <c r="G50" s="22" t="n">
        <v>409</v>
      </c>
      <c r="H50" s="10" t="n">
        <v>400</v>
      </c>
      <c r="I50" s="23"/>
      <c r="J50" s="10" t="str">
        <f aca="false">IF(I50="","",I50-G50)</f>
        <v/>
      </c>
      <c r="K50" s="12" t="str">
        <f aca="false">IF(OR(I50="",I50=0),"",J50/I50)</f>
        <v/>
      </c>
      <c r="L50" s="24" t="str">
        <f aca="false">IF(I50="","Set price",IF(I50&lt;G50,"LOSS",IF(I50=G50,"Break-even","OK")))</f>
        <v>Set price</v>
      </c>
      <c r="M50" s="10" t="n">
        <f aca="false">IF(F50="",CEILING(G50*(1+Settings!$B$4),5),MIN(F50,CEILING(G50*(1+Settings!$B$4),5)))</f>
        <v>430</v>
      </c>
      <c r="N50" s="12" t="str">
        <f aca="false">IF(F50="","",1-G50/F50)</f>
        <v/>
      </c>
    </row>
    <row r="51" customFormat="false" ht="15" hidden="false" customHeight="false" outlineLevel="0" collapsed="false">
      <c r="A51" s="13" t="s">
        <v>33</v>
      </c>
      <c r="B51" s="9" t="s">
        <v>64</v>
      </c>
      <c r="C51" s="9" t="s">
        <v>167</v>
      </c>
      <c r="D51" s="9" t="s">
        <v>165</v>
      </c>
      <c r="E51" s="21" t="s">
        <v>168</v>
      </c>
      <c r="F51" s="22"/>
      <c r="G51" s="22" t="n">
        <v>1228</v>
      </c>
      <c r="H51" s="10" t="n">
        <v>1100</v>
      </c>
      <c r="I51" s="23"/>
      <c r="J51" s="10" t="str">
        <f aca="false">IF(I51="","",I51-G51)</f>
        <v/>
      </c>
      <c r="K51" s="12" t="str">
        <f aca="false">IF(OR(I51="",I51=0),"",J51/I51)</f>
        <v/>
      </c>
      <c r="L51" s="24" t="str">
        <f aca="false">IF(I51="","Set price",IF(I51&lt;G51,"LOSS",IF(I51=G51,"Break-even","OK")))</f>
        <v>Set price</v>
      </c>
      <c r="M51" s="10" t="n">
        <f aca="false">IF(F51="",CEILING(G51*(1+Settings!$B$4),5),MIN(F51,CEILING(G51*(1+Settings!$B$4),5)))</f>
        <v>1290</v>
      </c>
      <c r="N51" s="12" t="str">
        <f aca="false">IF(F51="","",1-G51/F51)</f>
        <v/>
      </c>
    </row>
    <row r="52" customFormat="false" ht="15" hidden="false" customHeight="false" outlineLevel="0" collapsed="false">
      <c r="A52" s="13" t="s">
        <v>33</v>
      </c>
      <c r="B52" s="9" t="s">
        <v>64</v>
      </c>
      <c r="C52" s="9" t="s">
        <v>169</v>
      </c>
      <c r="D52" s="9" t="s">
        <v>165</v>
      </c>
      <c r="E52" s="21" t="s">
        <v>170</v>
      </c>
      <c r="F52" s="22"/>
      <c r="G52" s="22" t="n">
        <v>2046</v>
      </c>
      <c r="H52" s="10" t="n">
        <v>2000</v>
      </c>
      <c r="I52" s="23"/>
      <c r="J52" s="10" t="str">
        <f aca="false">IF(I52="","",I52-G52)</f>
        <v/>
      </c>
      <c r="K52" s="12" t="str">
        <f aca="false">IF(OR(I52="",I52=0),"",J52/I52)</f>
        <v/>
      </c>
      <c r="L52" s="24" t="str">
        <f aca="false">IF(I52="","Set price",IF(I52&lt;G52,"LOSS",IF(I52=G52,"Break-even","OK")))</f>
        <v>Set price</v>
      </c>
      <c r="M52" s="10" t="n">
        <f aca="false">IF(F52="",CEILING(G52*(1+Settings!$B$4),5),MIN(F52,CEILING(G52*(1+Settings!$B$4),5)))</f>
        <v>2150</v>
      </c>
      <c r="N52" s="12" t="str">
        <f aca="false">IF(F52="","",1-G52/F52)</f>
        <v/>
      </c>
    </row>
    <row r="53" customFormat="false" ht="15" hidden="false" customHeight="false" outlineLevel="0" collapsed="false">
      <c r="A53" s="13" t="s">
        <v>33</v>
      </c>
      <c r="B53" s="9" t="s">
        <v>64</v>
      </c>
      <c r="C53" s="9" t="s">
        <v>171</v>
      </c>
      <c r="D53" s="9" t="s">
        <v>165</v>
      </c>
      <c r="E53" s="21" t="s">
        <v>172</v>
      </c>
      <c r="F53" s="22"/>
      <c r="G53" s="22" t="n">
        <v>4093</v>
      </c>
      <c r="H53" s="10" t="n">
        <v>3650</v>
      </c>
      <c r="I53" s="23"/>
      <c r="J53" s="10" t="str">
        <f aca="false">IF(I53="","",I53-G53)</f>
        <v/>
      </c>
      <c r="K53" s="12" t="str">
        <f aca="false">IF(OR(I53="",I53=0),"",J53/I53)</f>
        <v/>
      </c>
      <c r="L53" s="24" t="str">
        <f aca="false">IF(I53="","Set price",IF(I53&lt;G53,"LOSS",IF(I53=G53,"Break-even","OK")))</f>
        <v>Set price</v>
      </c>
      <c r="M53" s="10" t="n">
        <f aca="false">IF(F53="",CEILING(G53*(1+Settings!$B$4),5),MIN(F53,CEILING(G53*(1+Settings!$B$4),5)))</f>
        <v>4300</v>
      </c>
      <c r="N53" s="12" t="str">
        <f aca="false">IF(F53="","",1-G53/F53)</f>
        <v/>
      </c>
    </row>
    <row r="54" customFormat="false" ht="15" hidden="false" customHeight="false" outlineLevel="0" collapsed="false">
      <c r="A54" s="13" t="s">
        <v>33</v>
      </c>
      <c r="B54" s="9" t="s">
        <v>64</v>
      </c>
      <c r="C54" s="9" t="s">
        <v>173</v>
      </c>
      <c r="D54" s="9" t="s">
        <v>69</v>
      </c>
      <c r="E54" s="21" t="s">
        <v>72</v>
      </c>
      <c r="F54" s="22"/>
      <c r="G54" s="22" t="n">
        <v>461</v>
      </c>
      <c r="H54" s="10" t="n">
        <v>500</v>
      </c>
      <c r="I54" s="23"/>
      <c r="J54" s="10" t="str">
        <f aca="false">IF(I54="","",I54-G54)</f>
        <v/>
      </c>
      <c r="K54" s="12" t="str">
        <f aca="false">IF(OR(I54="",I54=0),"",J54/I54)</f>
        <v/>
      </c>
      <c r="L54" s="24" t="str">
        <f aca="false">IF(I54="","Set price",IF(I54&lt;G54,"LOSS",IF(I54=G54,"Break-even","OK")))</f>
        <v>Set price</v>
      </c>
      <c r="M54" s="10" t="n">
        <f aca="false">IF(F54="",CEILING(G54*(1+Settings!$B$4),5),MIN(F54,CEILING(G54*(1+Settings!$B$4),5)))</f>
        <v>485</v>
      </c>
      <c r="N54" s="12" t="str">
        <f aca="false">IF(F54="","",1-G54/F54)</f>
        <v/>
      </c>
    </row>
    <row r="55" customFormat="false" ht="15" hidden="false" customHeight="false" outlineLevel="0" collapsed="false">
      <c r="A55" s="13" t="s">
        <v>33</v>
      </c>
      <c r="B55" s="9" t="s">
        <v>64</v>
      </c>
      <c r="C55" s="9" t="s">
        <v>174</v>
      </c>
      <c r="D55" s="9" t="s">
        <v>69</v>
      </c>
      <c r="E55" s="21" t="s">
        <v>76</v>
      </c>
      <c r="F55" s="22"/>
      <c r="G55" s="22" t="n">
        <v>922</v>
      </c>
      <c r="H55" s="10" t="n">
        <v>950</v>
      </c>
      <c r="I55" s="23"/>
      <c r="J55" s="10" t="str">
        <f aca="false">IF(I55="","",I55-G55)</f>
        <v/>
      </c>
      <c r="K55" s="12" t="str">
        <f aca="false">IF(OR(I55="",I55=0),"",J55/I55)</f>
        <v/>
      </c>
      <c r="L55" s="24" t="str">
        <f aca="false">IF(I55="","Set price",IF(I55&lt;G55,"LOSS",IF(I55=G55,"Break-even","OK")))</f>
        <v>Set price</v>
      </c>
      <c r="M55" s="10" t="n">
        <f aca="false">IF(F55="",CEILING(G55*(1+Settings!$B$4),5),MIN(F55,CEILING(G55*(1+Settings!$B$4),5)))</f>
        <v>970</v>
      </c>
      <c r="N55" s="12" t="str">
        <f aca="false">IF(F55="","",1-G55/F55)</f>
        <v/>
      </c>
    </row>
    <row r="56" customFormat="false" ht="15" hidden="false" customHeight="false" outlineLevel="0" collapsed="false">
      <c r="A56" s="13" t="s">
        <v>33</v>
      </c>
      <c r="B56" s="9" t="s">
        <v>64</v>
      </c>
      <c r="C56" s="9" t="s">
        <v>175</v>
      </c>
      <c r="D56" s="9" t="s">
        <v>69</v>
      </c>
      <c r="E56" s="21" t="s">
        <v>80</v>
      </c>
      <c r="F56" s="22"/>
      <c r="G56" s="22" t="n">
        <v>1383</v>
      </c>
      <c r="H56" s="10" t="n">
        <v>1500</v>
      </c>
      <c r="I56" s="23"/>
      <c r="J56" s="10" t="str">
        <f aca="false">IF(I56="","",I56-G56)</f>
        <v/>
      </c>
      <c r="K56" s="12" t="str">
        <f aca="false">IF(OR(I56="",I56=0),"",J56/I56)</f>
        <v/>
      </c>
      <c r="L56" s="24" t="str">
        <f aca="false">IF(I56="","Set price",IF(I56&lt;G56,"LOSS",IF(I56=G56,"Break-even","OK")))</f>
        <v>Set price</v>
      </c>
      <c r="M56" s="10" t="n">
        <f aca="false">IF(F56="",CEILING(G56*(1+Settings!$B$4),5),MIN(F56,CEILING(G56*(1+Settings!$B$4),5)))</f>
        <v>1455</v>
      </c>
      <c r="N56" s="12" t="str">
        <f aca="false">IF(F56="","",1-G56/F56)</f>
        <v/>
      </c>
    </row>
    <row r="57" customFormat="false" ht="15" hidden="false" customHeight="false" outlineLevel="0" collapsed="false">
      <c r="A57" s="13" t="s">
        <v>33</v>
      </c>
      <c r="B57" s="9" t="s">
        <v>64</v>
      </c>
      <c r="C57" s="9" t="s">
        <v>176</v>
      </c>
      <c r="D57" s="9" t="s">
        <v>69</v>
      </c>
      <c r="E57" s="21" t="s">
        <v>177</v>
      </c>
      <c r="F57" s="22"/>
      <c r="G57" s="22" t="n">
        <v>2306</v>
      </c>
      <c r="H57" s="10" t="n">
        <v>2400</v>
      </c>
      <c r="I57" s="23"/>
      <c r="J57" s="10" t="str">
        <f aca="false">IF(I57="","",I57-G57)</f>
        <v/>
      </c>
      <c r="K57" s="12" t="str">
        <f aca="false">IF(OR(I57="",I57=0),"",J57/I57)</f>
        <v/>
      </c>
      <c r="L57" s="24" t="str">
        <f aca="false">IF(I57="","Set price",IF(I57&lt;G57,"LOSS",IF(I57=G57,"Break-even","OK")))</f>
        <v>Set price</v>
      </c>
      <c r="M57" s="10" t="n">
        <f aca="false">IF(F57="",CEILING(G57*(1+Settings!$B$4),5),MIN(F57,CEILING(G57*(1+Settings!$B$4),5)))</f>
        <v>2425</v>
      </c>
      <c r="N57" s="12" t="str">
        <f aca="false">IF(F57="","",1-G57/F57)</f>
        <v/>
      </c>
    </row>
    <row r="58" customFormat="false" ht="15" hidden="false" customHeight="false" outlineLevel="0" collapsed="false">
      <c r="A58" s="13" t="s">
        <v>33</v>
      </c>
      <c r="B58" s="9" t="s">
        <v>64</v>
      </c>
      <c r="C58" s="9" t="s">
        <v>178</v>
      </c>
      <c r="D58" s="9" t="s">
        <v>69</v>
      </c>
      <c r="E58" s="21" t="s">
        <v>179</v>
      </c>
      <c r="F58" s="22"/>
      <c r="G58" s="22" t="n">
        <v>4612</v>
      </c>
      <c r="H58" s="10" t="n">
        <v>4700</v>
      </c>
      <c r="I58" s="23"/>
      <c r="J58" s="10" t="str">
        <f aca="false">IF(I58="","",I58-G58)</f>
        <v/>
      </c>
      <c r="K58" s="12" t="str">
        <f aca="false">IF(OR(I58="",I58=0),"",J58/I58)</f>
        <v/>
      </c>
      <c r="L58" s="24" t="str">
        <f aca="false">IF(I58="","Set price",IF(I58&lt;G58,"LOSS",IF(I58=G58,"Break-even","OK")))</f>
        <v>Set price</v>
      </c>
      <c r="M58" s="10" t="n">
        <f aca="false">IF(F58="",CEILING(G58*(1+Settings!$B$4),5),MIN(F58,CEILING(G58*(1+Settings!$B$4),5)))</f>
        <v>4845</v>
      </c>
      <c r="N58" s="12" t="str">
        <f aca="false">IF(F58="","",1-G58/F58)</f>
        <v/>
      </c>
    </row>
    <row r="59" customFormat="false" ht="15" hidden="false" customHeight="false" outlineLevel="0" collapsed="false">
      <c r="A59" s="13" t="s">
        <v>33</v>
      </c>
      <c r="B59" s="9" t="s">
        <v>85</v>
      </c>
      <c r="C59" s="9" t="s">
        <v>180</v>
      </c>
      <c r="D59" s="9" t="s">
        <v>87</v>
      </c>
      <c r="E59" s="21" t="s">
        <v>88</v>
      </c>
      <c r="F59" s="22" t="n">
        <v>100</v>
      </c>
      <c r="G59" s="22" t="n">
        <v>92.64</v>
      </c>
      <c r="H59" s="10" t="n">
        <v>120</v>
      </c>
      <c r="I59" s="23"/>
      <c r="J59" s="10" t="str">
        <f aca="false">IF(I59="","",I59-G59)</f>
        <v/>
      </c>
      <c r="K59" s="12" t="str">
        <f aca="false">IF(OR(I59="",I59=0),"",J59/I59)</f>
        <v/>
      </c>
      <c r="L59" s="24" t="str">
        <f aca="false">IF(I59="","Set price",IF(I59&lt;G59,"LOSS",IF(I59=G59,"Break-even","OK")))</f>
        <v>Set price</v>
      </c>
      <c r="M59" s="10" t="n">
        <f aca="false">IF(F59="",CEILING(G59*(1+Settings!$B$4),5),MIN(F59,CEILING(G59*(1+Settings!$B$4),5)))</f>
        <v>100</v>
      </c>
      <c r="N59" s="12" t="n">
        <f aca="false">IF(F59="","",1-G59/F59)</f>
        <v>0.0736</v>
      </c>
    </row>
    <row r="60" customFormat="false" ht="15" hidden="false" customHeight="false" outlineLevel="0" collapsed="false">
      <c r="A60" s="13" t="s">
        <v>33</v>
      </c>
      <c r="B60" s="9" t="s">
        <v>85</v>
      </c>
      <c r="C60" s="9" t="s">
        <v>181</v>
      </c>
      <c r="D60" s="9" t="s">
        <v>98</v>
      </c>
      <c r="E60" s="21" t="s">
        <v>90</v>
      </c>
      <c r="F60" s="22" t="n">
        <v>200</v>
      </c>
      <c r="G60" s="22" t="n">
        <v>185.27</v>
      </c>
      <c r="H60" s="10" t="n">
        <v>220</v>
      </c>
      <c r="I60" s="23"/>
      <c r="J60" s="10" t="str">
        <f aca="false">IF(I60="","",I60-G60)</f>
        <v/>
      </c>
      <c r="K60" s="12" t="str">
        <f aca="false">IF(OR(I60="",I60=0),"",J60/I60)</f>
        <v/>
      </c>
      <c r="L60" s="24" t="str">
        <f aca="false">IF(I60="","Set price",IF(I60&lt;G60,"LOSS",IF(I60=G60,"Break-even","OK")))</f>
        <v>Set price</v>
      </c>
      <c r="M60" s="10" t="n">
        <f aca="false">IF(F60="",CEILING(G60*(1+Settings!$B$4),5),MIN(F60,CEILING(G60*(1+Settings!$B$4),5)))</f>
        <v>195</v>
      </c>
      <c r="N60" s="12" t="n">
        <f aca="false">IF(F60="","",1-G60/F60)</f>
        <v>0.07365</v>
      </c>
    </row>
    <row r="61" customFormat="false" ht="15" hidden="false" customHeight="false" outlineLevel="0" collapsed="false">
      <c r="A61" s="13" t="s">
        <v>33</v>
      </c>
      <c r="B61" s="9" t="s">
        <v>102</v>
      </c>
      <c r="C61" s="9" t="s">
        <v>182</v>
      </c>
      <c r="D61" s="9" t="s">
        <v>148</v>
      </c>
      <c r="E61" s="21" t="s">
        <v>94</v>
      </c>
      <c r="F61" s="22" t="n">
        <v>500</v>
      </c>
      <c r="G61" s="22" t="n">
        <v>463.18</v>
      </c>
      <c r="H61" s="10" t="n">
        <v>500</v>
      </c>
      <c r="I61" s="23"/>
      <c r="J61" s="10" t="str">
        <f aca="false">IF(I61="","",I61-G61)</f>
        <v/>
      </c>
      <c r="K61" s="12" t="str">
        <f aca="false">IF(OR(I61="",I61=0),"",J61/I61)</f>
        <v/>
      </c>
      <c r="L61" s="24" t="str">
        <f aca="false">IF(I61="","Set price",IF(I61&lt;G61,"LOSS",IF(I61=G61,"Break-even","OK")))</f>
        <v>Set price</v>
      </c>
      <c r="M61" s="10" t="n">
        <f aca="false">IF(F61="",CEILING(G61*(1+Settings!$B$4),5),MIN(F61,CEILING(G61*(1+Settings!$B$4),5)))</f>
        <v>490</v>
      </c>
      <c r="N61" s="12" t="n">
        <f aca="false">IF(F61="","",1-G61/F61)</f>
        <v>0.07364</v>
      </c>
    </row>
    <row r="62" customFormat="false" ht="15" hidden="false" customHeight="false" outlineLevel="0" collapsed="false">
      <c r="A62" s="13" t="s">
        <v>33</v>
      </c>
      <c r="B62" s="9" t="s">
        <v>102</v>
      </c>
      <c r="C62" s="9" t="s">
        <v>183</v>
      </c>
      <c r="D62" s="9" t="s">
        <v>69</v>
      </c>
      <c r="E62" s="21" t="s">
        <v>101</v>
      </c>
      <c r="F62" s="22" t="n">
        <v>1000</v>
      </c>
      <c r="G62" s="22" t="n">
        <v>926.35</v>
      </c>
      <c r="H62" s="10" t="n">
        <v>1000</v>
      </c>
      <c r="I62" s="23"/>
      <c r="J62" s="10" t="str">
        <f aca="false">IF(I62="","",I62-G62)</f>
        <v/>
      </c>
      <c r="K62" s="12" t="str">
        <f aca="false">IF(OR(I62="",I62=0),"",J62/I62)</f>
        <v/>
      </c>
      <c r="L62" s="24" t="str">
        <f aca="false">IF(I62="","Set price",IF(I62&lt;G62,"LOSS",IF(I62=G62,"Break-even","OK")))</f>
        <v>Set price</v>
      </c>
      <c r="M62" s="10" t="n">
        <f aca="false">IF(F62="",CEILING(G62*(1+Settings!$B$4),5),MIN(F62,CEILING(G62*(1+Settings!$B$4),5)))</f>
        <v>975</v>
      </c>
      <c r="N62" s="12" t="n">
        <f aca="false">IF(F62="","",1-G62/F62)</f>
        <v>0.07365</v>
      </c>
    </row>
    <row r="63" customFormat="false" ht="15" hidden="false" customHeight="false" outlineLevel="0" collapsed="false">
      <c r="A63" s="13" t="s">
        <v>33</v>
      </c>
      <c r="B63" s="9" t="s">
        <v>102</v>
      </c>
      <c r="C63" s="9" t="s">
        <v>184</v>
      </c>
      <c r="D63" s="9" t="s">
        <v>69</v>
      </c>
      <c r="E63" s="21" t="s">
        <v>185</v>
      </c>
      <c r="F63" s="22" t="n">
        <v>1500</v>
      </c>
      <c r="G63" s="22" t="n">
        <v>1389.53</v>
      </c>
      <c r="H63" s="10" t="n">
        <v>1500</v>
      </c>
      <c r="I63" s="23"/>
      <c r="J63" s="10" t="str">
        <f aca="false">IF(I63="","",I63-G63)</f>
        <v/>
      </c>
      <c r="K63" s="12" t="str">
        <f aca="false">IF(OR(I63="",I63=0),"",J63/I63)</f>
        <v/>
      </c>
      <c r="L63" s="24" t="str">
        <f aca="false">IF(I63="","Set price",IF(I63&lt;G63,"LOSS",IF(I63=G63,"Break-even","OK")))</f>
        <v>Set price</v>
      </c>
      <c r="M63" s="10" t="n">
        <f aca="false">IF(F63="",CEILING(G63*(1+Settings!$B$4),5),MIN(F63,CEILING(G63*(1+Settings!$B$4),5)))</f>
        <v>1460</v>
      </c>
      <c r="N63" s="12" t="n">
        <f aca="false">IF(F63="","",1-G63/F63)</f>
        <v>0.0736466666666666</v>
      </c>
    </row>
    <row r="64" customFormat="false" ht="15" hidden="false" customHeight="false" outlineLevel="0" collapsed="false">
      <c r="A64" s="13" t="s">
        <v>33</v>
      </c>
      <c r="B64" s="9" t="s">
        <v>102</v>
      </c>
      <c r="C64" s="9" t="s">
        <v>186</v>
      </c>
      <c r="D64" s="9" t="s">
        <v>69</v>
      </c>
      <c r="E64" s="21" t="s">
        <v>118</v>
      </c>
      <c r="F64" s="22" t="n">
        <v>2000</v>
      </c>
      <c r="G64" s="22" t="n">
        <v>1852.7</v>
      </c>
      <c r="H64" s="10" t="n">
        <v>2000</v>
      </c>
      <c r="I64" s="23"/>
      <c r="J64" s="10" t="str">
        <f aca="false">IF(I64="","",I64-G64)</f>
        <v/>
      </c>
      <c r="K64" s="12" t="str">
        <f aca="false">IF(OR(I64="",I64=0),"",J64/I64)</f>
        <v/>
      </c>
      <c r="L64" s="24" t="str">
        <f aca="false">IF(I64="","Set price",IF(I64&lt;G64,"LOSS",IF(I64=G64,"Break-even","OK")))</f>
        <v>Set price</v>
      </c>
      <c r="M64" s="10" t="n">
        <f aca="false">IF(F64="",CEILING(G64*(1+Settings!$B$4),5),MIN(F64,CEILING(G64*(1+Settings!$B$4),5)))</f>
        <v>1950</v>
      </c>
      <c r="N64" s="12" t="n">
        <f aca="false">IF(F64="","",1-G64/F64)</f>
        <v>0.07365</v>
      </c>
    </row>
    <row r="65" customFormat="false" ht="15" hidden="false" customHeight="false" outlineLevel="0" collapsed="false">
      <c r="A65" s="13" t="s">
        <v>33</v>
      </c>
      <c r="B65" s="9" t="s">
        <v>102</v>
      </c>
      <c r="C65" s="9" t="s">
        <v>187</v>
      </c>
      <c r="D65" s="9" t="s">
        <v>69</v>
      </c>
      <c r="E65" s="21" t="s">
        <v>112</v>
      </c>
      <c r="F65" s="22" t="n">
        <v>2500</v>
      </c>
      <c r="G65" s="22" t="n">
        <v>2315.88</v>
      </c>
      <c r="H65" s="10" t="n">
        <v>2500</v>
      </c>
      <c r="I65" s="23"/>
      <c r="J65" s="10" t="str">
        <f aca="false">IF(I65="","",I65-G65)</f>
        <v/>
      </c>
      <c r="K65" s="12" t="str">
        <f aca="false">IF(OR(I65="",I65=0),"",J65/I65)</f>
        <v/>
      </c>
      <c r="L65" s="24" t="str">
        <f aca="false">IF(I65="","Set price",IF(I65&lt;G65,"LOSS",IF(I65=G65,"Break-even","OK")))</f>
        <v>Set price</v>
      </c>
      <c r="M65" s="10" t="n">
        <f aca="false">IF(F65="",CEILING(G65*(1+Settings!$B$4),5),MIN(F65,CEILING(G65*(1+Settings!$B$4),5)))</f>
        <v>2435</v>
      </c>
      <c r="N65" s="12" t="n">
        <f aca="false">IF(F65="","",1-G65/F65)</f>
        <v>0.0736479999999999</v>
      </c>
    </row>
    <row r="66" customFormat="false" ht="15" hidden="false" customHeight="false" outlineLevel="0" collapsed="false">
      <c r="A66" s="13" t="s">
        <v>33</v>
      </c>
      <c r="B66" s="9" t="s">
        <v>102</v>
      </c>
      <c r="C66" s="9" t="s">
        <v>188</v>
      </c>
      <c r="D66" s="9" t="s">
        <v>69</v>
      </c>
      <c r="E66" s="21" t="s">
        <v>189</v>
      </c>
      <c r="F66" s="22" t="n">
        <v>3000</v>
      </c>
      <c r="G66" s="22" t="n">
        <v>2779.05</v>
      </c>
      <c r="H66" s="10" t="n">
        <v>3000</v>
      </c>
      <c r="I66" s="23"/>
      <c r="J66" s="10" t="str">
        <f aca="false">IF(I66="","",I66-G66)</f>
        <v/>
      </c>
      <c r="K66" s="12" t="str">
        <f aca="false">IF(OR(I66="",I66=0),"",J66/I66)</f>
        <v/>
      </c>
      <c r="L66" s="24" t="str">
        <f aca="false">IF(I66="","Set price",IF(I66&lt;G66,"LOSS",IF(I66=G66,"Break-even","OK")))</f>
        <v>Set price</v>
      </c>
      <c r="M66" s="10" t="n">
        <f aca="false">IF(F66="",CEILING(G66*(1+Settings!$B$4),5),MIN(F66,CEILING(G66*(1+Settings!$B$4),5)))</f>
        <v>2920</v>
      </c>
      <c r="N66" s="12" t="n">
        <f aca="false">IF(F66="","",1-G66/F66)</f>
        <v>0.07365</v>
      </c>
    </row>
    <row r="67" customFormat="false" ht="15" hidden="false" customHeight="false" outlineLevel="0" collapsed="false">
      <c r="A67" s="13" t="s">
        <v>33</v>
      </c>
      <c r="B67" s="9" t="s">
        <v>102</v>
      </c>
      <c r="C67" s="9" t="s">
        <v>190</v>
      </c>
      <c r="D67" s="9" t="s">
        <v>69</v>
      </c>
      <c r="E67" s="21" t="s">
        <v>191</v>
      </c>
      <c r="F67" s="22" t="n">
        <v>4000</v>
      </c>
      <c r="G67" s="22" t="n">
        <v>3705.4</v>
      </c>
      <c r="H67" s="10" t="n">
        <v>4000</v>
      </c>
      <c r="I67" s="23"/>
      <c r="J67" s="10" t="str">
        <f aca="false">IF(I67="","",I67-G67)</f>
        <v/>
      </c>
      <c r="K67" s="12" t="str">
        <f aca="false">IF(OR(I67="",I67=0),"",J67/I67)</f>
        <v/>
      </c>
      <c r="L67" s="24" t="str">
        <f aca="false">IF(I67="","Set price",IF(I67&lt;G67,"LOSS",IF(I67=G67,"Break-even","OK")))</f>
        <v>Set price</v>
      </c>
      <c r="M67" s="10" t="n">
        <f aca="false">IF(F67="",CEILING(G67*(1+Settings!$B$4),5),MIN(F67,CEILING(G67*(1+Settings!$B$4),5)))</f>
        <v>3895</v>
      </c>
      <c r="N67" s="12" t="n">
        <f aca="false">IF(F67="","",1-G67/F67)</f>
        <v>0.07365</v>
      </c>
    </row>
    <row r="68" customFormat="false" ht="15" hidden="false" customHeight="false" outlineLevel="0" collapsed="false">
      <c r="A68" s="13" t="s">
        <v>33</v>
      </c>
      <c r="B68" s="9" t="s">
        <v>102</v>
      </c>
      <c r="C68" s="9" t="s">
        <v>192</v>
      </c>
      <c r="D68" s="9" t="s">
        <v>69</v>
      </c>
      <c r="E68" s="21" t="s">
        <v>143</v>
      </c>
      <c r="F68" s="22" t="n">
        <v>5000</v>
      </c>
      <c r="G68" s="22" t="n">
        <v>4631.75</v>
      </c>
      <c r="H68" s="10" t="n">
        <v>5000</v>
      </c>
      <c r="I68" s="23"/>
      <c r="J68" s="10" t="str">
        <f aca="false">IF(I68="","",I68-G68)</f>
        <v/>
      </c>
      <c r="K68" s="12" t="str">
        <f aca="false">IF(OR(I68="",I68=0),"",J68/I68)</f>
        <v/>
      </c>
      <c r="L68" s="24" t="str">
        <f aca="false">IF(I68="","Set price",IF(I68&lt;G68,"LOSS",IF(I68=G68,"Break-even","OK")))</f>
        <v>Set price</v>
      </c>
      <c r="M68" s="10" t="n">
        <f aca="false">IF(F68="",CEILING(G68*(1+Settings!$B$4),5),MIN(F68,CEILING(G68*(1+Settings!$B$4),5)))</f>
        <v>4865</v>
      </c>
      <c r="N68" s="12" t="n">
        <f aca="false">IF(F68="","",1-G68/F68)</f>
        <v>0.07365</v>
      </c>
    </row>
    <row r="69" customFormat="false" ht="15" hidden="false" customHeight="false" outlineLevel="0" collapsed="false">
      <c r="A69" s="13" t="s">
        <v>33</v>
      </c>
      <c r="B69" s="9" t="s">
        <v>102</v>
      </c>
      <c r="C69" s="9" t="s">
        <v>193</v>
      </c>
      <c r="D69" s="9" t="s">
        <v>69</v>
      </c>
      <c r="E69" s="21" t="s">
        <v>194</v>
      </c>
      <c r="F69" s="22" t="n">
        <v>8000</v>
      </c>
      <c r="G69" s="22" t="n">
        <v>7410.8</v>
      </c>
      <c r="H69" s="10" t="n">
        <v>8000</v>
      </c>
      <c r="I69" s="23"/>
      <c r="J69" s="10" t="str">
        <f aca="false">IF(I69="","",I69-G69)</f>
        <v/>
      </c>
      <c r="K69" s="12" t="str">
        <f aca="false">IF(OR(I69="",I69=0),"",J69/I69)</f>
        <v/>
      </c>
      <c r="L69" s="24" t="str">
        <f aca="false">IF(I69="","Set price",IF(I69&lt;G69,"LOSS",IF(I69=G69,"Break-even","OK")))</f>
        <v>Set price</v>
      </c>
      <c r="M69" s="10" t="n">
        <f aca="false">IF(F69="",CEILING(G69*(1+Settings!$B$4),5),MIN(F69,CEILING(G69*(1+Settings!$B$4),5)))</f>
        <v>7785</v>
      </c>
      <c r="N69" s="12" t="n">
        <f aca="false">IF(F69="","",1-G69/F69)</f>
        <v>0.07365</v>
      </c>
    </row>
    <row r="70" customFormat="false" ht="15" hidden="false" customHeight="false" outlineLevel="0" collapsed="false">
      <c r="A70" s="13" t="s">
        <v>33</v>
      </c>
      <c r="B70" s="9" t="s">
        <v>102</v>
      </c>
      <c r="C70" s="9" t="s">
        <v>195</v>
      </c>
      <c r="D70" s="9" t="s">
        <v>69</v>
      </c>
      <c r="E70" s="21" t="s">
        <v>196</v>
      </c>
      <c r="F70" s="22" t="n">
        <v>10000</v>
      </c>
      <c r="G70" s="22" t="n">
        <v>9263.5</v>
      </c>
      <c r="H70" s="10" t="n">
        <v>10000</v>
      </c>
      <c r="I70" s="23"/>
      <c r="J70" s="10" t="str">
        <f aca="false">IF(I70="","",I70-G70)</f>
        <v/>
      </c>
      <c r="K70" s="12" t="str">
        <f aca="false">IF(OR(I70="",I70=0),"",J70/I70)</f>
        <v/>
      </c>
      <c r="L70" s="24" t="str">
        <f aca="false">IF(I70="","Set price",IF(I70&lt;G70,"LOSS",IF(I70=G70,"Break-even","OK")))</f>
        <v>Set price</v>
      </c>
      <c r="M70" s="10" t="n">
        <f aca="false">IF(F70="",CEILING(G70*(1+Settings!$B$4),5),MIN(F70,CEILING(G70*(1+Settings!$B$4),5)))</f>
        <v>9730</v>
      </c>
      <c r="N70" s="12" t="n">
        <f aca="false">IF(F70="","",1-G70/F70)</f>
        <v>0.07365</v>
      </c>
    </row>
    <row r="71" customFormat="false" ht="15" hidden="false" customHeight="false" outlineLevel="0" collapsed="false">
      <c r="A71" s="13" t="s">
        <v>33</v>
      </c>
      <c r="B71" s="9" t="s">
        <v>102</v>
      </c>
      <c r="C71" s="9" t="s">
        <v>197</v>
      </c>
      <c r="D71" s="9" t="s">
        <v>69</v>
      </c>
      <c r="E71" s="21" t="s">
        <v>198</v>
      </c>
      <c r="F71" s="22" t="n">
        <v>15000</v>
      </c>
      <c r="G71" s="22" t="n">
        <v>13895.25</v>
      </c>
      <c r="H71" s="10" t="n">
        <v>15000</v>
      </c>
      <c r="I71" s="23"/>
      <c r="J71" s="10" t="str">
        <f aca="false">IF(I71="","",I71-G71)</f>
        <v/>
      </c>
      <c r="K71" s="12" t="str">
        <f aca="false">IF(OR(I71="",I71=0),"",J71/I71)</f>
        <v/>
      </c>
      <c r="L71" s="24" t="str">
        <f aca="false">IF(I71="","Set price",IF(I71&lt;G71,"LOSS",IF(I71=G71,"Break-even","OK")))</f>
        <v>Set price</v>
      </c>
      <c r="M71" s="10" t="n">
        <f aca="false">IF(F71="",CEILING(G71*(1+Settings!$B$4),5),MIN(F71,CEILING(G71*(1+Settings!$B$4),5)))</f>
        <v>14595</v>
      </c>
      <c r="N71" s="12" t="n">
        <f aca="false">IF(F71="","",1-G71/F71)</f>
        <v>0.07365</v>
      </c>
    </row>
    <row r="72" customFormat="false" ht="15" hidden="false" customHeight="false" outlineLevel="0" collapsed="false">
      <c r="A72" s="13" t="s">
        <v>33</v>
      </c>
      <c r="B72" s="9" t="s">
        <v>102</v>
      </c>
      <c r="C72" s="9" t="s">
        <v>199</v>
      </c>
      <c r="D72" s="9" t="s">
        <v>69</v>
      </c>
      <c r="E72" s="21" t="s">
        <v>200</v>
      </c>
      <c r="F72" s="22" t="n">
        <v>20000</v>
      </c>
      <c r="G72" s="22" t="n">
        <v>18527</v>
      </c>
      <c r="H72" s="10" t="n">
        <v>20000</v>
      </c>
      <c r="I72" s="23"/>
      <c r="J72" s="10" t="str">
        <f aca="false">IF(I72="","",I72-G72)</f>
        <v/>
      </c>
      <c r="K72" s="12" t="str">
        <f aca="false">IF(OR(I72="",I72=0),"",J72/I72)</f>
        <v/>
      </c>
      <c r="L72" s="24" t="str">
        <f aca="false">IF(I72="","Set price",IF(I72&lt;G72,"LOSS",IF(I72=G72,"Break-even","OK")))</f>
        <v>Set price</v>
      </c>
      <c r="M72" s="10" t="n">
        <f aca="false">IF(F72="",CEILING(G72*(1+Settings!$B$4),5),MIN(F72,CEILING(G72*(1+Settings!$B$4),5)))</f>
        <v>19455</v>
      </c>
      <c r="N72" s="12" t="n">
        <f aca="false">IF(F72="","",1-G72/F72)</f>
        <v>0.07365</v>
      </c>
    </row>
    <row r="73" customFormat="false" ht="15" hidden="false" customHeight="false" outlineLevel="0" collapsed="false">
      <c r="A73" s="13" t="s">
        <v>33</v>
      </c>
      <c r="B73" s="9" t="s">
        <v>85</v>
      </c>
      <c r="C73" s="9" t="s">
        <v>201</v>
      </c>
      <c r="D73" s="9" t="s">
        <v>87</v>
      </c>
      <c r="E73" s="21" t="s">
        <v>104</v>
      </c>
      <c r="F73" s="22" t="n">
        <v>500</v>
      </c>
      <c r="G73" s="22" t="n">
        <v>463.18</v>
      </c>
      <c r="H73" s="10" t="n">
        <v>600</v>
      </c>
      <c r="I73" s="23"/>
      <c r="J73" s="10" t="str">
        <f aca="false">IF(I73="","",I73-G73)</f>
        <v/>
      </c>
      <c r="K73" s="12" t="str">
        <f aca="false">IF(OR(I73="",I73=0),"",J73/I73)</f>
        <v/>
      </c>
      <c r="L73" s="24" t="str">
        <f aca="false">IF(I73="","Set price",IF(I73&lt;G73,"LOSS",IF(I73=G73,"Break-even","OK")))</f>
        <v>Set price</v>
      </c>
      <c r="M73" s="10" t="n">
        <f aca="false">IF(F73="",CEILING(G73*(1+Settings!$B$4),5),MIN(F73,CEILING(G73*(1+Settings!$B$4),5)))</f>
        <v>490</v>
      </c>
      <c r="N73" s="12" t="n">
        <f aca="false">IF(F73="","",1-G73/F73)</f>
        <v>0.07364</v>
      </c>
    </row>
    <row r="74" customFormat="false" ht="15" hidden="false" customHeight="false" outlineLevel="0" collapsed="false">
      <c r="A74" s="13" t="s">
        <v>33</v>
      </c>
      <c r="B74" s="9" t="s">
        <v>102</v>
      </c>
      <c r="C74" s="9" t="s">
        <v>202</v>
      </c>
      <c r="D74" s="9" t="s">
        <v>66</v>
      </c>
      <c r="E74" s="21" t="s">
        <v>116</v>
      </c>
      <c r="F74" s="22" t="n">
        <v>1500</v>
      </c>
      <c r="G74" s="22" t="n">
        <v>1389.53</v>
      </c>
      <c r="H74" s="10" t="n">
        <v>1500</v>
      </c>
      <c r="I74" s="23"/>
      <c r="J74" s="10" t="str">
        <f aca="false">IF(I74="","",I74-G74)</f>
        <v/>
      </c>
      <c r="K74" s="12" t="str">
        <f aca="false">IF(OR(I74="",I74=0),"",J74/I74)</f>
        <v/>
      </c>
      <c r="L74" s="24" t="str">
        <f aca="false">IF(I74="","Set price",IF(I74&lt;G74,"LOSS",IF(I74=G74,"Break-even","OK")))</f>
        <v>Set price</v>
      </c>
      <c r="M74" s="10" t="n">
        <f aca="false">IF(F74="",CEILING(G74*(1+Settings!$B$4),5),MIN(F74,CEILING(G74*(1+Settings!$B$4),5)))</f>
        <v>1460</v>
      </c>
      <c r="N74" s="12" t="n">
        <f aca="false">IF(F74="","",1-G74/F74)</f>
        <v>0.0736466666666666</v>
      </c>
    </row>
    <row r="75" customFormat="false" ht="15" hidden="false" customHeight="false" outlineLevel="0" collapsed="false">
      <c r="A75" s="13" t="s">
        <v>33</v>
      </c>
      <c r="B75" s="9" t="s">
        <v>85</v>
      </c>
      <c r="C75" s="9" t="s">
        <v>203</v>
      </c>
      <c r="D75" s="9" t="s">
        <v>204</v>
      </c>
      <c r="E75" s="21" t="s">
        <v>205</v>
      </c>
      <c r="F75" s="22" t="n">
        <v>500</v>
      </c>
      <c r="G75" s="22" t="n">
        <v>463.18</v>
      </c>
      <c r="H75" s="10" t="n">
        <v>700</v>
      </c>
      <c r="I75" s="23"/>
      <c r="J75" s="10" t="str">
        <f aca="false">IF(I75="","",I75-G75)</f>
        <v/>
      </c>
      <c r="K75" s="12" t="str">
        <f aca="false">IF(OR(I75="",I75=0),"",J75/I75)</f>
        <v/>
      </c>
      <c r="L75" s="24" t="str">
        <f aca="false">IF(I75="","Set price",IF(I75&lt;G75,"LOSS",IF(I75=G75,"Break-even","OK")))</f>
        <v>Set price</v>
      </c>
      <c r="M75" s="10" t="n">
        <f aca="false">IF(F75="",CEILING(G75*(1+Settings!$B$4),5),MIN(F75,CEILING(G75*(1+Settings!$B$4),5)))</f>
        <v>490</v>
      </c>
      <c r="N75" s="12" t="n">
        <f aca="false">IF(F75="","",1-G75/F75)</f>
        <v>0.07364</v>
      </c>
    </row>
    <row r="76" customFormat="false" ht="15" hidden="false" customHeight="false" outlineLevel="0" collapsed="false">
      <c r="A76" s="13" t="s">
        <v>33</v>
      </c>
      <c r="B76" s="9" t="s">
        <v>85</v>
      </c>
      <c r="C76" s="9" t="s">
        <v>206</v>
      </c>
      <c r="D76" s="9" t="s">
        <v>204</v>
      </c>
      <c r="E76" s="21" t="s">
        <v>207</v>
      </c>
      <c r="F76" s="22" t="n">
        <v>200</v>
      </c>
      <c r="G76" s="22" t="n">
        <v>185.27</v>
      </c>
      <c r="H76" s="10" t="n">
        <v>300</v>
      </c>
      <c r="I76" s="23"/>
      <c r="J76" s="10" t="str">
        <f aca="false">IF(I76="","",I76-G76)</f>
        <v/>
      </c>
      <c r="K76" s="12" t="str">
        <f aca="false">IF(OR(I76="",I76=0),"",J76/I76)</f>
        <v/>
      </c>
      <c r="L76" s="24" t="str">
        <f aca="false">IF(I76="","Set price",IF(I76&lt;G76,"LOSS",IF(I76=G76,"Break-even","OK")))</f>
        <v>Set price</v>
      </c>
      <c r="M76" s="10" t="n">
        <f aca="false">IF(F76="",CEILING(G76*(1+Settings!$B$4),5),MIN(F76,CEILING(G76*(1+Settings!$B$4),5)))</f>
        <v>195</v>
      </c>
      <c r="N76" s="12" t="n">
        <f aca="false">IF(F76="","",1-G76/F76)</f>
        <v>0.07365</v>
      </c>
    </row>
    <row r="77" customFormat="false" ht="15" hidden="false" customHeight="false" outlineLevel="0" collapsed="false">
      <c r="A77" s="13" t="s">
        <v>33</v>
      </c>
      <c r="B77" s="9" t="s">
        <v>102</v>
      </c>
      <c r="C77" s="9" t="s">
        <v>208</v>
      </c>
      <c r="D77" s="9" t="s">
        <v>69</v>
      </c>
      <c r="E77" s="21" t="s">
        <v>209</v>
      </c>
      <c r="F77" s="22" t="n">
        <v>30000</v>
      </c>
      <c r="G77" s="22" t="n">
        <v>27790.5</v>
      </c>
      <c r="H77" s="10" t="n">
        <v>30000</v>
      </c>
      <c r="I77" s="23"/>
      <c r="J77" s="10" t="str">
        <f aca="false">IF(I77="","",I77-G77)</f>
        <v/>
      </c>
      <c r="K77" s="12" t="str">
        <f aca="false">IF(OR(I77="",I77=0),"",J77/I77)</f>
        <v/>
      </c>
      <c r="L77" s="24" t="str">
        <f aca="false">IF(I77="","Set price",IF(I77&lt;G77,"LOSS",IF(I77=G77,"Break-even","OK")))</f>
        <v>Set price</v>
      </c>
      <c r="M77" s="10" t="n">
        <f aca="false">IF(F77="",CEILING(G77*(1+Settings!$B$4),5),MIN(F77,CEILING(G77*(1+Settings!$B$4),5)))</f>
        <v>29185</v>
      </c>
      <c r="N77" s="12" t="n">
        <f aca="false">IF(F77="","",1-G77/F77)</f>
        <v>0.07365</v>
      </c>
    </row>
    <row r="78" customFormat="false" ht="15" hidden="false" customHeight="false" outlineLevel="0" collapsed="false">
      <c r="A78" s="13" t="s">
        <v>33</v>
      </c>
      <c r="B78" s="9" t="s">
        <v>102</v>
      </c>
      <c r="C78" s="9" t="s">
        <v>210</v>
      </c>
      <c r="D78" s="9" t="s">
        <v>69</v>
      </c>
      <c r="E78" s="21" t="s">
        <v>211</v>
      </c>
      <c r="F78" s="22" t="n">
        <v>36000</v>
      </c>
      <c r="G78" s="22" t="n">
        <v>37054</v>
      </c>
      <c r="H78" s="10" t="n">
        <v>40000</v>
      </c>
      <c r="I78" s="23"/>
      <c r="J78" s="10" t="str">
        <f aca="false">IF(I78="","",I78-G78)</f>
        <v/>
      </c>
      <c r="K78" s="12" t="str">
        <f aca="false">IF(OR(I78="",I78=0),"",J78/I78)</f>
        <v/>
      </c>
      <c r="L78" s="24" t="str">
        <f aca="false">IF(I78="","Set price",IF(I78&lt;G78,"LOSS",IF(I78=G78,"Break-even","OK")))</f>
        <v>Set price</v>
      </c>
      <c r="M78" s="10" t="n">
        <f aca="false">IF(F78="",CEILING(G78*(1+Settings!$B$4),5),MIN(F78,CEILING(G78*(1+Settings!$B$4),5)))</f>
        <v>36000</v>
      </c>
      <c r="N78" s="12" t="n">
        <f aca="false">IF(F78="","",1-G78/F78)</f>
        <v>-0.0292777777777777</v>
      </c>
    </row>
    <row r="79" customFormat="false" ht="15" hidden="false" customHeight="false" outlineLevel="0" collapsed="false">
      <c r="A79" s="13" t="s">
        <v>33</v>
      </c>
      <c r="B79" s="9" t="s">
        <v>102</v>
      </c>
      <c r="C79" s="9" t="s">
        <v>212</v>
      </c>
      <c r="D79" s="9" t="s">
        <v>69</v>
      </c>
      <c r="E79" s="21" t="s">
        <v>213</v>
      </c>
      <c r="F79" s="22" t="n">
        <v>50000</v>
      </c>
      <c r="G79" s="22" t="n">
        <v>46317.5</v>
      </c>
      <c r="H79" s="10" t="n">
        <v>50000</v>
      </c>
      <c r="I79" s="23"/>
      <c r="J79" s="10" t="str">
        <f aca="false">IF(I79="","",I79-G79)</f>
        <v/>
      </c>
      <c r="K79" s="12" t="str">
        <f aca="false">IF(OR(I79="",I79=0),"",J79/I79)</f>
        <v/>
      </c>
      <c r="L79" s="24" t="str">
        <f aca="false">IF(I79="","Set price",IF(I79&lt;G79,"LOSS",IF(I79=G79,"Break-even","OK")))</f>
        <v>Set price</v>
      </c>
      <c r="M79" s="10" t="n">
        <f aca="false">IF(F79="",CEILING(G79*(1+Settings!$B$4),5),MIN(F79,CEILING(G79*(1+Settings!$B$4),5)))</f>
        <v>48635</v>
      </c>
      <c r="N79" s="12" t="n">
        <f aca="false">IF(F79="","",1-G79/F79)</f>
        <v>0.07365</v>
      </c>
    </row>
    <row r="80" customFormat="false" ht="15" hidden="false" customHeight="false" outlineLevel="0" collapsed="false">
      <c r="A80" s="13" t="s">
        <v>33</v>
      </c>
      <c r="B80" s="9" t="s">
        <v>102</v>
      </c>
      <c r="C80" s="9" t="s">
        <v>214</v>
      </c>
      <c r="D80" s="9" t="s">
        <v>69</v>
      </c>
      <c r="E80" s="21" t="s">
        <v>215</v>
      </c>
      <c r="F80" s="22" t="n">
        <v>60000</v>
      </c>
      <c r="G80" s="22" t="n">
        <v>55581</v>
      </c>
      <c r="H80" s="10" t="n">
        <v>60000</v>
      </c>
      <c r="I80" s="23"/>
      <c r="J80" s="10" t="str">
        <f aca="false">IF(I80="","",I80-G80)</f>
        <v/>
      </c>
      <c r="K80" s="12" t="str">
        <f aca="false">IF(OR(I80="",I80=0),"",J80/I80)</f>
        <v/>
      </c>
      <c r="L80" s="24" t="str">
        <f aca="false">IF(I80="","Set price",IF(I80&lt;G80,"LOSS",IF(I80=G80,"Break-even","OK")))</f>
        <v>Set price</v>
      </c>
      <c r="M80" s="10" t="n">
        <f aca="false">IF(F80="",CEILING(G80*(1+Settings!$B$4),5),MIN(F80,CEILING(G80*(1+Settings!$B$4),5)))</f>
        <v>58365</v>
      </c>
      <c r="N80" s="12" t="n">
        <f aca="false">IF(F80="","",1-G80/F80)</f>
        <v>0.07365</v>
      </c>
    </row>
    <row r="81" customFormat="false" ht="15" hidden="false" customHeight="false" outlineLevel="0" collapsed="false">
      <c r="A81" s="13" t="s">
        <v>33</v>
      </c>
      <c r="B81" s="9" t="s">
        <v>102</v>
      </c>
      <c r="C81" s="9" t="s">
        <v>216</v>
      </c>
      <c r="D81" s="9" t="s">
        <v>69</v>
      </c>
      <c r="E81" s="21" t="s">
        <v>217</v>
      </c>
      <c r="F81" s="22" t="n">
        <v>75000</v>
      </c>
      <c r="G81" s="22" t="n">
        <v>69476.25</v>
      </c>
      <c r="H81" s="10" t="n">
        <v>80000</v>
      </c>
      <c r="I81" s="23"/>
      <c r="J81" s="10" t="str">
        <f aca="false">IF(I81="","",I81-G81)</f>
        <v/>
      </c>
      <c r="K81" s="12" t="str">
        <f aca="false">IF(OR(I81="",I81=0),"",J81/I81)</f>
        <v/>
      </c>
      <c r="L81" s="24" t="str">
        <f aca="false">IF(I81="","Set price",IF(I81&lt;G81,"LOSS",IF(I81=G81,"Break-even","OK")))</f>
        <v>Set price</v>
      </c>
      <c r="M81" s="10" t="n">
        <f aca="false">IF(F81="",CEILING(G81*(1+Settings!$B$4),5),MIN(F81,CEILING(G81*(1+Settings!$B$4),5)))</f>
        <v>72955</v>
      </c>
      <c r="N81" s="12" t="n">
        <f aca="false">IF(F81="","",1-G81/F81)</f>
        <v>0.07365</v>
      </c>
    </row>
    <row r="82" customFormat="false" ht="15" hidden="false" customHeight="false" outlineLevel="0" collapsed="false">
      <c r="A82" s="13" t="s">
        <v>33</v>
      </c>
      <c r="B82" s="9" t="s">
        <v>102</v>
      </c>
      <c r="C82" s="9" t="s">
        <v>218</v>
      </c>
      <c r="D82" s="9" t="s">
        <v>219</v>
      </c>
      <c r="E82" s="21" t="s">
        <v>220</v>
      </c>
      <c r="F82" s="22" t="n">
        <v>150000</v>
      </c>
      <c r="G82" s="22" t="n">
        <v>143250</v>
      </c>
      <c r="H82" s="10" t="n">
        <v>155000</v>
      </c>
      <c r="I82" s="23"/>
      <c r="J82" s="10" t="str">
        <f aca="false">IF(I82="","",I82-G82)</f>
        <v/>
      </c>
      <c r="K82" s="12" t="str">
        <f aca="false">IF(OR(I82="",I82=0),"",J82/I82)</f>
        <v/>
      </c>
      <c r="L82" s="24" t="str">
        <f aca="false">IF(I82="","Set price",IF(I82&lt;G82,"LOSS",IF(I82=G82,"Break-even","OK")))</f>
        <v>Set price</v>
      </c>
      <c r="M82" s="10" t="n">
        <f aca="false">IF(F82="",CEILING(G82*(1+Settings!$B$4),5),MIN(F82,CEILING(G82*(1+Settings!$B$4),5)))</f>
        <v>150000</v>
      </c>
      <c r="N82" s="12" t="n">
        <f aca="false">IF(F82="","",1-G82/F82)</f>
        <v>0.045</v>
      </c>
    </row>
    <row r="83" customFormat="false" ht="15" hidden="false" customHeight="false" outlineLevel="0" collapsed="false">
      <c r="A83" s="14" t="s">
        <v>34</v>
      </c>
      <c r="B83" s="9" t="s">
        <v>85</v>
      </c>
      <c r="C83" s="9" t="s">
        <v>221</v>
      </c>
      <c r="D83" s="9" t="s">
        <v>87</v>
      </c>
      <c r="E83" s="21" t="s">
        <v>222</v>
      </c>
      <c r="F83" s="22" t="n">
        <v>500</v>
      </c>
      <c r="G83" s="22" t="n">
        <v>470.37</v>
      </c>
      <c r="H83" s="10" t="n">
        <v>500</v>
      </c>
      <c r="I83" s="23"/>
      <c r="J83" s="10" t="str">
        <f aca="false">IF(I83="","",I83-G83)</f>
        <v/>
      </c>
      <c r="K83" s="12" t="str">
        <f aca="false">IF(OR(I83="",I83=0),"",J83/I83)</f>
        <v/>
      </c>
      <c r="L83" s="24" t="str">
        <f aca="false">IF(I83="","Set price",IF(I83&lt;G83,"LOSS",IF(I83=G83,"Break-even","OK")))</f>
        <v>Set price</v>
      </c>
      <c r="M83" s="10" t="n">
        <f aca="false">IF(F83="",CEILING(G83*(1+Settings!$B$4),5),MIN(F83,CEILING(G83*(1+Settings!$B$4),5)))</f>
        <v>495</v>
      </c>
      <c r="N83" s="12" t="n">
        <f aca="false">IF(F83="","",1-G83/F83)</f>
        <v>0.05926</v>
      </c>
    </row>
    <row r="84" customFormat="false" ht="15" hidden="false" customHeight="false" outlineLevel="0" collapsed="false">
      <c r="A84" s="14" t="s">
        <v>34</v>
      </c>
      <c r="B84" s="9" t="s">
        <v>85</v>
      </c>
      <c r="C84" s="9" t="s">
        <v>223</v>
      </c>
      <c r="D84" s="9" t="s">
        <v>98</v>
      </c>
      <c r="E84" s="21" t="s">
        <v>224</v>
      </c>
      <c r="F84" s="22" t="n">
        <v>600</v>
      </c>
      <c r="G84" s="22" t="n">
        <v>564.46</v>
      </c>
      <c r="H84" s="10" t="n">
        <v>700</v>
      </c>
      <c r="I84" s="23"/>
      <c r="J84" s="10" t="str">
        <f aca="false">IF(I84="","",I84-G84)</f>
        <v/>
      </c>
      <c r="K84" s="12" t="str">
        <f aca="false">IF(OR(I84="",I84=0),"",J84/I84)</f>
        <v/>
      </c>
      <c r="L84" s="24" t="str">
        <f aca="false">IF(I84="","Set price",IF(I84&lt;G84,"LOSS",IF(I84=G84,"Break-even","OK")))</f>
        <v>Set price</v>
      </c>
      <c r="M84" s="10" t="n">
        <f aca="false">IF(F84="",CEILING(G84*(1+Settings!$B$4),5),MIN(F84,CEILING(G84*(1+Settings!$B$4),5)))</f>
        <v>595</v>
      </c>
      <c r="N84" s="12" t="n">
        <f aca="false">IF(F84="","",1-G84/F84)</f>
        <v>0.0592333333333333</v>
      </c>
    </row>
    <row r="85" customFormat="false" ht="15" hidden="false" customHeight="false" outlineLevel="0" collapsed="false">
      <c r="A85" s="14" t="s">
        <v>34</v>
      </c>
      <c r="B85" s="9" t="s">
        <v>85</v>
      </c>
      <c r="C85" s="9" t="s">
        <v>225</v>
      </c>
      <c r="D85" s="9" t="s">
        <v>98</v>
      </c>
      <c r="E85" s="21" t="s">
        <v>226</v>
      </c>
      <c r="F85" s="22" t="n">
        <v>750</v>
      </c>
      <c r="G85" s="22" t="n">
        <v>705.59</v>
      </c>
      <c r="H85" s="10" t="n">
        <v>800</v>
      </c>
      <c r="I85" s="23"/>
      <c r="J85" s="10" t="str">
        <f aca="false">IF(I85="","",I85-G85)</f>
        <v/>
      </c>
      <c r="K85" s="12" t="str">
        <f aca="false">IF(OR(I85="",I85=0),"",J85/I85)</f>
        <v/>
      </c>
      <c r="L85" s="24" t="str">
        <f aca="false">IF(I85="","Set price",IF(I85&lt;G85,"LOSS",IF(I85=G85,"Break-even","OK")))</f>
        <v>Set price</v>
      </c>
      <c r="M85" s="10" t="n">
        <f aca="false">IF(F85="",CEILING(G85*(1+Settings!$B$4),5),MIN(F85,CEILING(G85*(1+Settings!$B$4),5)))</f>
        <v>745</v>
      </c>
      <c r="N85" s="12" t="n">
        <f aca="false">IF(F85="","",1-G85/F85)</f>
        <v>0.0592133333333333</v>
      </c>
    </row>
    <row r="86" customFormat="false" ht="15" hidden="false" customHeight="false" outlineLevel="0" collapsed="false">
      <c r="A86" s="14" t="s">
        <v>34</v>
      </c>
      <c r="B86" s="9" t="s">
        <v>85</v>
      </c>
      <c r="C86" s="9" t="s">
        <v>227</v>
      </c>
      <c r="D86" s="9" t="s">
        <v>98</v>
      </c>
      <c r="E86" s="21" t="s">
        <v>228</v>
      </c>
      <c r="F86" s="22" t="n">
        <v>1000</v>
      </c>
      <c r="G86" s="22" t="n">
        <v>940.82</v>
      </c>
      <c r="H86" s="10" t="n">
        <v>1000</v>
      </c>
      <c r="I86" s="23"/>
      <c r="J86" s="10" t="str">
        <f aca="false">IF(I86="","",I86-G86)</f>
        <v/>
      </c>
      <c r="K86" s="12" t="str">
        <f aca="false">IF(OR(I86="",I86=0),"",J86/I86)</f>
        <v/>
      </c>
      <c r="L86" s="24" t="str">
        <f aca="false">IF(I86="","Set price",IF(I86&lt;G86,"LOSS",IF(I86=G86,"Break-even","OK")))</f>
        <v>Set price</v>
      </c>
      <c r="M86" s="10" t="n">
        <f aca="false">IF(F86="",CEILING(G86*(1+Settings!$B$4),5),MIN(F86,CEILING(G86*(1+Settings!$B$4),5)))</f>
        <v>990</v>
      </c>
      <c r="N86" s="12" t="n">
        <f aca="false">IF(F86="","",1-G86/F86)</f>
        <v>0.0591799999999999</v>
      </c>
    </row>
    <row r="87" customFormat="false" ht="15" hidden="false" customHeight="false" outlineLevel="0" collapsed="false">
      <c r="A87" s="14" t="s">
        <v>34</v>
      </c>
      <c r="B87" s="9" t="s">
        <v>85</v>
      </c>
      <c r="C87" s="9" t="s">
        <v>229</v>
      </c>
      <c r="D87" s="9" t="s">
        <v>98</v>
      </c>
      <c r="E87" s="21" t="s">
        <v>230</v>
      </c>
      <c r="F87" s="22" t="n">
        <v>1500</v>
      </c>
      <c r="G87" s="22" t="n">
        <v>1411.27</v>
      </c>
      <c r="H87" s="10" t="n">
        <v>1500</v>
      </c>
      <c r="I87" s="23"/>
      <c r="J87" s="10" t="str">
        <f aca="false">IF(I87="","",I87-G87)</f>
        <v/>
      </c>
      <c r="K87" s="12" t="str">
        <f aca="false">IF(OR(I87="",I87=0),"",J87/I87)</f>
        <v/>
      </c>
      <c r="L87" s="24" t="str">
        <f aca="false">IF(I87="","Set price",IF(I87&lt;G87,"LOSS",IF(I87=G87,"Break-even","OK")))</f>
        <v>Set price</v>
      </c>
      <c r="M87" s="10" t="n">
        <f aca="false">IF(F87="",CEILING(G87*(1+Settings!$B$4),5),MIN(F87,CEILING(G87*(1+Settings!$B$4),5)))</f>
        <v>1485</v>
      </c>
      <c r="N87" s="12" t="n">
        <f aca="false">IF(F87="","",1-G87/F87)</f>
        <v>0.0591533333333334</v>
      </c>
    </row>
    <row r="88" customFormat="false" ht="15" hidden="false" customHeight="false" outlineLevel="0" collapsed="false">
      <c r="A88" s="14" t="s">
        <v>34</v>
      </c>
      <c r="B88" s="9" t="s">
        <v>102</v>
      </c>
      <c r="C88" s="9" t="s">
        <v>231</v>
      </c>
      <c r="D88" s="9" t="s">
        <v>66</v>
      </c>
      <c r="E88" s="21" t="s">
        <v>232</v>
      </c>
      <c r="F88" s="22" t="n">
        <v>500</v>
      </c>
      <c r="G88" s="22" t="n">
        <v>470.37</v>
      </c>
      <c r="H88" s="10" t="n">
        <v>500</v>
      </c>
      <c r="I88" s="23"/>
      <c r="J88" s="10" t="str">
        <f aca="false">IF(I88="","",I88-G88)</f>
        <v/>
      </c>
      <c r="K88" s="12" t="str">
        <f aca="false">IF(OR(I88="",I88=0),"",J88/I88)</f>
        <v/>
      </c>
      <c r="L88" s="24" t="str">
        <f aca="false">IF(I88="","Set price",IF(I88&lt;G88,"LOSS",IF(I88=G88,"Break-even","OK")))</f>
        <v>Set price</v>
      </c>
      <c r="M88" s="10" t="n">
        <f aca="false">IF(F88="",CEILING(G88*(1+Settings!$B$4),5),MIN(F88,CEILING(G88*(1+Settings!$B$4),5)))</f>
        <v>495</v>
      </c>
      <c r="N88" s="12" t="n">
        <f aca="false">IF(F88="","",1-G88/F88)</f>
        <v>0.05926</v>
      </c>
    </row>
    <row r="89" customFormat="false" ht="15" hidden="false" customHeight="false" outlineLevel="0" collapsed="false">
      <c r="A89" s="14" t="s">
        <v>34</v>
      </c>
      <c r="B89" s="9" t="s">
        <v>102</v>
      </c>
      <c r="C89" s="9" t="s">
        <v>233</v>
      </c>
      <c r="D89" s="9" t="s">
        <v>66</v>
      </c>
      <c r="E89" s="21" t="s">
        <v>234</v>
      </c>
      <c r="F89" s="22" t="n">
        <v>800</v>
      </c>
      <c r="G89" s="22" t="n">
        <v>752.64</v>
      </c>
      <c r="H89" s="10" t="n">
        <v>800</v>
      </c>
      <c r="I89" s="23"/>
      <c r="J89" s="10" t="str">
        <f aca="false">IF(I89="","",I89-G89)</f>
        <v/>
      </c>
      <c r="K89" s="12" t="str">
        <f aca="false">IF(OR(I89="",I89=0),"",J89/I89)</f>
        <v/>
      </c>
      <c r="L89" s="24" t="str">
        <f aca="false">IF(I89="","Set price",IF(I89&lt;G89,"LOSS",IF(I89=G89,"Break-even","OK")))</f>
        <v>Set price</v>
      </c>
      <c r="M89" s="10" t="n">
        <f aca="false">IF(F89="",CEILING(G89*(1+Settings!$B$4),5),MIN(F89,CEILING(G89*(1+Settings!$B$4),5)))</f>
        <v>795</v>
      </c>
      <c r="N89" s="12" t="n">
        <f aca="false">IF(F89="","",1-G89/F89)</f>
        <v>0.0592</v>
      </c>
    </row>
    <row r="90" customFormat="false" ht="15" hidden="false" customHeight="false" outlineLevel="0" collapsed="false">
      <c r="A90" s="14" t="s">
        <v>34</v>
      </c>
      <c r="B90" s="9" t="s">
        <v>102</v>
      </c>
      <c r="C90" s="9" t="s">
        <v>235</v>
      </c>
      <c r="D90" s="9" t="s">
        <v>66</v>
      </c>
      <c r="E90" s="21" t="s">
        <v>236</v>
      </c>
      <c r="F90" s="22" t="n">
        <v>1000</v>
      </c>
      <c r="G90" s="22" t="n">
        <v>940.82</v>
      </c>
      <c r="H90" s="10" t="n">
        <v>1000</v>
      </c>
      <c r="I90" s="23"/>
      <c r="J90" s="10" t="str">
        <f aca="false">IF(I90="","",I90-G90)</f>
        <v/>
      </c>
      <c r="K90" s="12" t="str">
        <f aca="false">IF(OR(I90="",I90=0),"",J90/I90)</f>
        <v/>
      </c>
      <c r="L90" s="24" t="str">
        <f aca="false">IF(I90="","Set price",IF(I90&lt;G90,"LOSS",IF(I90=G90,"Break-even","OK")))</f>
        <v>Set price</v>
      </c>
      <c r="M90" s="10" t="n">
        <f aca="false">IF(F90="",CEILING(G90*(1+Settings!$B$4),5),MIN(F90,CEILING(G90*(1+Settings!$B$4),5)))</f>
        <v>990</v>
      </c>
      <c r="N90" s="12" t="n">
        <f aca="false">IF(F90="","",1-G90/F90)</f>
        <v>0.0591799999999999</v>
      </c>
    </row>
    <row r="91" customFormat="false" ht="15" hidden="false" customHeight="false" outlineLevel="0" collapsed="false">
      <c r="A91" s="14" t="s">
        <v>34</v>
      </c>
      <c r="B91" s="9" t="s">
        <v>102</v>
      </c>
      <c r="C91" s="9" t="s">
        <v>237</v>
      </c>
      <c r="D91" s="9" t="s">
        <v>66</v>
      </c>
      <c r="E91" s="21" t="s">
        <v>238</v>
      </c>
      <c r="F91" s="22" t="n">
        <v>1500</v>
      </c>
      <c r="G91" s="22" t="n">
        <v>1411.27</v>
      </c>
      <c r="H91" s="10" t="n">
        <v>1500</v>
      </c>
      <c r="I91" s="23"/>
      <c r="J91" s="10" t="str">
        <f aca="false">IF(I91="","",I91-G91)</f>
        <v/>
      </c>
      <c r="K91" s="12" t="str">
        <f aca="false">IF(OR(I91="",I91=0),"",J91/I91)</f>
        <v/>
      </c>
      <c r="L91" s="24" t="str">
        <f aca="false">IF(I91="","Set price",IF(I91&lt;G91,"LOSS",IF(I91=G91,"Break-even","OK")))</f>
        <v>Set price</v>
      </c>
      <c r="M91" s="10" t="n">
        <f aca="false">IF(F91="",CEILING(G91*(1+Settings!$B$4),5),MIN(F91,CEILING(G91*(1+Settings!$B$4),5)))</f>
        <v>1485</v>
      </c>
      <c r="N91" s="12" t="n">
        <f aca="false">IF(F91="","",1-G91/F91)</f>
        <v>0.0591533333333334</v>
      </c>
    </row>
    <row r="92" customFormat="false" ht="15" hidden="false" customHeight="false" outlineLevel="0" collapsed="false">
      <c r="A92" s="14" t="s">
        <v>34</v>
      </c>
      <c r="B92" s="9" t="s">
        <v>102</v>
      </c>
      <c r="C92" s="9" t="s">
        <v>202</v>
      </c>
      <c r="D92" s="9" t="s">
        <v>66</v>
      </c>
      <c r="E92" s="21" t="s">
        <v>239</v>
      </c>
      <c r="F92" s="22" t="n">
        <v>2500</v>
      </c>
      <c r="G92" s="22" t="n">
        <v>2352.17</v>
      </c>
      <c r="H92" s="10" t="n">
        <v>2500</v>
      </c>
      <c r="I92" s="23"/>
      <c r="J92" s="10" t="str">
        <f aca="false">IF(I92="","",I92-G92)</f>
        <v/>
      </c>
      <c r="K92" s="12" t="str">
        <f aca="false">IF(OR(I92="",I92=0),"",J92/I92)</f>
        <v/>
      </c>
      <c r="L92" s="24" t="str">
        <f aca="false">IF(I92="","Set price",IF(I92&lt;G92,"LOSS",IF(I92=G92,"Break-even","OK")))</f>
        <v>Set price</v>
      </c>
      <c r="M92" s="10" t="n">
        <f aca="false">IF(F92="",CEILING(G92*(1+Settings!$B$4),5),MIN(F92,CEILING(G92*(1+Settings!$B$4),5)))</f>
        <v>2470</v>
      </c>
      <c r="N92" s="12" t="n">
        <f aca="false">IF(F92="","",1-G92/F92)</f>
        <v>0.059132</v>
      </c>
    </row>
    <row r="93" customFormat="false" ht="15" hidden="false" customHeight="false" outlineLevel="0" collapsed="false">
      <c r="A93" s="14" t="s">
        <v>34</v>
      </c>
      <c r="B93" s="9" t="s">
        <v>102</v>
      </c>
      <c r="C93" s="9" t="s">
        <v>240</v>
      </c>
      <c r="D93" s="9" t="s">
        <v>66</v>
      </c>
      <c r="E93" s="21" t="s">
        <v>241</v>
      </c>
      <c r="F93" s="22" t="n">
        <v>3000</v>
      </c>
      <c r="G93" s="22" t="n">
        <v>2822.62</v>
      </c>
      <c r="H93" s="10" t="n">
        <v>3000</v>
      </c>
      <c r="I93" s="23"/>
      <c r="J93" s="10" t="str">
        <f aca="false">IF(I93="","",I93-G93)</f>
        <v/>
      </c>
      <c r="K93" s="12" t="str">
        <f aca="false">IF(OR(I93="",I93=0),"",J93/I93)</f>
        <v/>
      </c>
      <c r="L93" s="24" t="str">
        <f aca="false">IF(I93="","Set price",IF(I93&lt;G93,"LOSS",IF(I93=G93,"Break-even","OK")))</f>
        <v>Set price</v>
      </c>
      <c r="M93" s="10" t="n">
        <f aca="false">IF(F93="",CEILING(G93*(1+Settings!$B$4),5),MIN(F93,CEILING(G93*(1+Settings!$B$4),5)))</f>
        <v>2965</v>
      </c>
      <c r="N93" s="12" t="n">
        <f aca="false">IF(F93="","",1-G93/F93)</f>
        <v>0.0591266666666667</v>
      </c>
    </row>
    <row r="94" customFormat="false" ht="15" hidden="false" customHeight="false" outlineLevel="0" collapsed="false">
      <c r="A94" s="14" t="s">
        <v>34</v>
      </c>
      <c r="B94" s="9" t="s">
        <v>102</v>
      </c>
      <c r="C94" s="9" t="s">
        <v>242</v>
      </c>
      <c r="D94" s="9" t="s">
        <v>66</v>
      </c>
      <c r="E94" s="21" t="s">
        <v>243</v>
      </c>
      <c r="F94" s="22" t="n">
        <v>5000</v>
      </c>
      <c r="G94" s="22" t="n">
        <v>4704.42</v>
      </c>
      <c r="H94" s="10" t="n">
        <v>5000</v>
      </c>
      <c r="I94" s="23"/>
      <c r="J94" s="10" t="str">
        <f aca="false">IF(I94="","",I94-G94)</f>
        <v/>
      </c>
      <c r="K94" s="12" t="str">
        <f aca="false">IF(OR(I94="",I94=0),"",J94/I94)</f>
        <v/>
      </c>
      <c r="L94" s="24" t="str">
        <f aca="false">IF(I94="","Set price",IF(I94&lt;G94,"LOSS",IF(I94=G94,"Break-even","OK")))</f>
        <v>Set price</v>
      </c>
      <c r="M94" s="10" t="n">
        <f aca="false">IF(F94="",CEILING(G94*(1+Settings!$B$4),5),MIN(F94,CEILING(G94*(1+Settings!$B$4),5)))</f>
        <v>4940</v>
      </c>
      <c r="N94" s="12" t="n">
        <f aca="false">IF(F94="","",1-G94/F94)</f>
        <v>0.0591159999999999</v>
      </c>
    </row>
    <row r="95" customFormat="false" ht="15" hidden="false" customHeight="false" outlineLevel="0" collapsed="false">
      <c r="A95" s="14" t="s">
        <v>34</v>
      </c>
      <c r="B95" s="9" t="s">
        <v>102</v>
      </c>
      <c r="C95" s="9" t="s">
        <v>244</v>
      </c>
      <c r="D95" s="9" t="s">
        <v>69</v>
      </c>
      <c r="E95" s="21" t="s">
        <v>245</v>
      </c>
      <c r="F95" s="22" t="n">
        <v>1500</v>
      </c>
      <c r="G95" s="22" t="n">
        <v>1411.28</v>
      </c>
      <c r="H95" s="10" t="n">
        <v>1500</v>
      </c>
      <c r="I95" s="23"/>
      <c r="J95" s="10" t="str">
        <f aca="false">IF(I95="","",I95-G95)</f>
        <v/>
      </c>
      <c r="K95" s="12" t="str">
        <f aca="false">IF(OR(I95="",I95=0),"",J95/I95)</f>
        <v/>
      </c>
      <c r="L95" s="24" t="str">
        <f aca="false">IF(I95="","Set price",IF(I95&lt;G95,"LOSS",IF(I95=G95,"Break-even","OK")))</f>
        <v>Set price</v>
      </c>
      <c r="M95" s="10" t="n">
        <f aca="false">IF(F95="",CEILING(G95*(1+Settings!$B$4),5),MIN(F95,CEILING(G95*(1+Settings!$B$4),5)))</f>
        <v>1485</v>
      </c>
      <c r="N95" s="12" t="n">
        <f aca="false">IF(F95="","",1-G95/F95)</f>
        <v>0.0591466666666667</v>
      </c>
    </row>
    <row r="96" customFormat="false" ht="15" hidden="false" customHeight="false" outlineLevel="0" collapsed="false">
      <c r="A96" s="14" t="s">
        <v>34</v>
      </c>
      <c r="B96" s="9" t="s">
        <v>102</v>
      </c>
      <c r="C96" s="9" t="s">
        <v>246</v>
      </c>
      <c r="D96" s="9" t="s">
        <v>69</v>
      </c>
      <c r="E96" s="21" t="s">
        <v>247</v>
      </c>
      <c r="F96" s="22" t="n">
        <v>2000</v>
      </c>
      <c r="G96" s="22" t="n">
        <v>1881.72</v>
      </c>
      <c r="H96" s="10" t="n">
        <v>2000</v>
      </c>
      <c r="I96" s="23"/>
      <c r="J96" s="10" t="str">
        <f aca="false">IF(I96="","",I96-G96)</f>
        <v/>
      </c>
      <c r="K96" s="12" t="str">
        <f aca="false">IF(OR(I96="",I96=0),"",J96/I96)</f>
        <v/>
      </c>
      <c r="L96" s="24" t="str">
        <f aca="false">IF(I96="","Set price",IF(I96&lt;G96,"LOSS",IF(I96=G96,"Break-even","OK")))</f>
        <v>Set price</v>
      </c>
      <c r="M96" s="10" t="n">
        <f aca="false">IF(F96="",CEILING(G96*(1+Settings!$B$4),5),MIN(F96,CEILING(G96*(1+Settings!$B$4),5)))</f>
        <v>1980</v>
      </c>
      <c r="N96" s="12" t="n">
        <f aca="false">IF(F96="","",1-G96/F96)</f>
        <v>0.05914</v>
      </c>
    </row>
    <row r="97" customFormat="false" ht="15" hidden="false" customHeight="false" outlineLevel="0" collapsed="false">
      <c r="A97" s="14" t="s">
        <v>34</v>
      </c>
      <c r="B97" s="9" t="s">
        <v>102</v>
      </c>
      <c r="C97" s="9" t="s">
        <v>248</v>
      </c>
      <c r="D97" s="9" t="s">
        <v>69</v>
      </c>
      <c r="E97" s="21" t="s">
        <v>249</v>
      </c>
      <c r="F97" s="22" t="n">
        <v>2500</v>
      </c>
      <c r="G97" s="22" t="n">
        <v>2352.17</v>
      </c>
      <c r="H97" s="10" t="n">
        <v>2500</v>
      </c>
      <c r="I97" s="23"/>
      <c r="J97" s="10" t="str">
        <f aca="false">IF(I97="","",I97-G97)</f>
        <v/>
      </c>
      <c r="K97" s="12" t="str">
        <f aca="false">IF(OR(I97="",I97=0),"",J97/I97)</f>
        <v/>
      </c>
      <c r="L97" s="24" t="str">
        <f aca="false">IF(I97="","Set price",IF(I97&lt;G97,"LOSS",IF(I97=G97,"Break-even","OK")))</f>
        <v>Set price</v>
      </c>
      <c r="M97" s="10" t="n">
        <f aca="false">IF(F97="",CEILING(G97*(1+Settings!$B$4),5),MIN(F97,CEILING(G97*(1+Settings!$B$4),5)))</f>
        <v>2470</v>
      </c>
      <c r="N97" s="12" t="n">
        <f aca="false">IF(F97="","",1-G97/F97)</f>
        <v>0.059132</v>
      </c>
    </row>
    <row r="98" customFormat="false" ht="15" hidden="false" customHeight="false" outlineLevel="0" collapsed="false">
      <c r="A98" s="14" t="s">
        <v>34</v>
      </c>
      <c r="B98" s="9" t="s">
        <v>102</v>
      </c>
      <c r="C98" s="9" t="s">
        <v>250</v>
      </c>
      <c r="D98" s="9" t="s">
        <v>69</v>
      </c>
      <c r="E98" s="21" t="s">
        <v>251</v>
      </c>
      <c r="F98" s="22" t="n">
        <v>3000</v>
      </c>
      <c r="G98" s="22" t="n">
        <v>2822.62</v>
      </c>
      <c r="H98" s="10" t="n">
        <v>3000</v>
      </c>
      <c r="I98" s="23"/>
      <c r="J98" s="10" t="str">
        <f aca="false">IF(I98="","",I98-G98)</f>
        <v/>
      </c>
      <c r="K98" s="12" t="str">
        <f aca="false">IF(OR(I98="",I98=0),"",J98/I98)</f>
        <v/>
      </c>
      <c r="L98" s="24" t="str">
        <f aca="false">IF(I98="","Set price",IF(I98&lt;G98,"LOSS",IF(I98=G98,"Break-even","OK")))</f>
        <v>Set price</v>
      </c>
      <c r="M98" s="10" t="n">
        <f aca="false">IF(F98="",CEILING(G98*(1+Settings!$B$4),5),MIN(F98,CEILING(G98*(1+Settings!$B$4),5)))</f>
        <v>2965</v>
      </c>
      <c r="N98" s="12" t="n">
        <f aca="false">IF(F98="","",1-G98/F98)</f>
        <v>0.0591266666666667</v>
      </c>
    </row>
    <row r="99" customFormat="false" ht="15" hidden="false" customHeight="false" outlineLevel="0" collapsed="false">
      <c r="A99" s="14" t="s">
        <v>34</v>
      </c>
      <c r="B99" s="9" t="s">
        <v>102</v>
      </c>
      <c r="C99" s="9" t="s">
        <v>188</v>
      </c>
      <c r="D99" s="9" t="s">
        <v>69</v>
      </c>
      <c r="E99" s="21" t="s">
        <v>252</v>
      </c>
      <c r="F99" s="22" t="n">
        <v>4000</v>
      </c>
      <c r="G99" s="22" t="n">
        <v>3763.52</v>
      </c>
      <c r="H99" s="10"/>
      <c r="I99" s="23"/>
      <c r="J99" s="10" t="str">
        <f aca="false">IF(I99="","",I99-G99)</f>
        <v/>
      </c>
      <c r="K99" s="12" t="str">
        <f aca="false">IF(OR(I99="",I99=0),"",J99/I99)</f>
        <v/>
      </c>
      <c r="L99" s="24" t="str">
        <f aca="false">IF(I99="","Set price",IF(I99&lt;G99,"LOSS",IF(I99=G99,"Break-even","OK")))</f>
        <v>Set price</v>
      </c>
      <c r="M99" s="10" t="n">
        <f aca="false">IF(F99="",CEILING(G99*(1+Settings!$B$4),5),MIN(F99,CEILING(G99*(1+Settings!$B$4),5)))</f>
        <v>3955</v>
      </c>
      <c r="N99" s="12" t="n">
        <f aca="false">IF(F99="","",1-G99/F99)</f>
        <v>0.05912</v>
      </c>
    </row>
    <row r="100" customFormat="false" ht="15" hidden="false" customHeight="false" outlineLevel="0" collapsed="false">
      <c r="A100" s="14" t="s">
        <v>34</v>
      </c>
      <c r="B100" s="9" t="s">
        <v>102</v>
      </c>
      <c r="C100" s="9" t="s">
        <v>253</v>
      </c>
      <c r="D100" s="9" t="s">
        <v>69</v>
      </c>
      <c r="E100" s="21" t="s">
        <v>254</v>
      </c>
      <c r="F100" s="22" t="n">
        <v>5000</v>
      </c>
      <c r="G100" s="22" t="n">
        <v>4704.42</v>
      </c>
      <c r="H100" s="10" t="n">
        <v>5000</v>
      </c>
      <c r="I100" s="23"/>
      <c r="J100" s="10" t="str">
        <f aca="false">IF(I100="","",I100-G100)</f>
        <v/>
      </c>
      <c r="K100" s="12" t="str">
        <f aca="false">IF(OR(I100="",I100=0),"",J100/I100)</f>
        <v/>
      </c>
      <c r="L100" s="24" t="str">
        <f aca="false">IF(I100="","Set price",IF(I100&lt;G100,"LOSS",IF(I100=G100,"Break-even","OK")))</f>
        <v>Set price</v>
      </c>
      <c r="M100" s="10" t="n">
        <f aca="false">IF(F100="",CEILING(G100*(1+Settings!$B$4),5),MIN(F100,CEILING(G100*(1+Settings!$B$4),5)))</f>
        <v>4940</v>
      </c>
      <c r="N100" s="12" t="n">
        <f aca="false">IF(F100="","",1-G100/F100)</f>
        <v>0.0591159999999999</v>
      </c>
    </row>
    <row r="101" customFormat="false" ht="15" hidden="false" customHeight="false" outlineLevel="0" collapsed="false">
      <c r="A101" s="14" t="s">
        <v>34</v>
      </c>
      <c r="B101" s="9" t="s">
        <v>102</v>
      </c>
      <c r="C101" s="9" t="s">
        <v>255</v>
      </c>
      <c r="D101" s="9" t="s">
        <v>69</v>
      </c>
      <c r="E101" s="21" t="s">
        <v>256</v>
      </c>
      <c r="F101" s="22" t="n">
        <v>6000</v>
      </c>
      <c r="G101" s="22" t="n">
        <v>5645.32</v>
      </c>
      <c r="H101" s="10"/>
      <c r="I101" s="23"/>
      <c r="J101" s="10" t="str">
        <f aca="false">IF(I101="","",I101-G101)</f>
        <v/>
      </c>
      <c r="K101" s="12" t="str">
        <f aca="false">IF(OR(I101="",I101=0),"",J101/I101)</f>
        <v/>
      </c>
      <c r="L101" s="24" t="str">
        <f aca="false">IF(I101="","Set price",IF(I101&lt;G101,"LOSS",IF(I101=G101,"Break-even","OK")))</f>
        <v>Set price</v>
      </c>
      <c r="M101" s="10" t="n">
        <f aca="false">IF(F101="",CEILING(G101*(1+Settings!$B$4),5),MIN(F101,CEILING(G101*(1+Settings!$B$4),5)))</f>
        <v>5930</v>
      </c>
      <c r="N101" s="12" t="n">
        <f aca="false">IF(F101="","",1-G101/F101)</f>
        <v>0.0591133333333334</v>
      </c>
    </row>
    <row r="102" customFormat="false" ht="15" hidden="false" customHeight="false" outlineLevel="0" collapsed="false">
      <c r="A102" s="14" t="s">
        <v>34</v>
      </c>
      <c r="B102" s="9" t="s">
        <v>102</v>
      </c>
      <c r="C102" s="9" t="s">
        <v>257</v>
      </c>
      <c r="D102" s="9" t="s">
        <v>69</v>
      </c>
      <c r="E102" s="21" t="s">
        <v>258</v>
      </c>
      <c r="F102" s="22" t="n">
        <v>8000</v>
      </c>
      <c r="G102" s="22" t="n">
        <v>7527.12</v>
      </c>
      <c r="H102" s="10" t="n">
        <v>8000</v>
      </c>
      <c r="I102" s="23"/>
      <c r="J102" s="10" t="str">
        <f aca="false">IF(I102="","",I102-G102)</f>
        <v/>
      </c>
      <c r="K102" s="12" t="str">
        <f aca="false">IF(OR(I102="",I102=0),"",J102/I102)</f>
        <v/>
      </c>
      <c r="L102" s="24" t="str">
        <f aca="false">IF(I102="","Set price",IF(I102&lt;G102,"LOSS",IF(I102=G102,"Break-even","OK")))</f>
        <v>Set price</v>
      </c>
      <c r="M102" s="10" t="n">
        <f aca="false">IF(F102="",CEILING(G102*(1+Settings!$B$4),5),MIN(F102,CEILING(G102*(1+Settings!$B$4),5)))</f>
        <v>7905</v>
      </c>
      <c r="N102" s="12" t="n">
        <f aca="false">IF(F102="","",1-G102/F102)</f>
        <v>0.05911</v>
      </c>
    </row>
    <row r="103" customFormat="false" ht="15" hidden="false" customHeight="false" outlineLevel="0" collapsed="false">
      <c r="A103" s="14" t="s">
        <v>34</v>
      </c>
      <c r="B103" s="9" t="s">
        <v>102</v>
      </c>
      <c r="C103" s="9" t="s">
        <v>259</v>
      </c>
      <c r="D103" s="9" t="s">
        <v>69</v>
      </c>
      <c r="E103" s="21" t="s">
        <v>260</v>
      </c>
      <c r="F103" s="22" t="n">
        <v>10000</v>
      </c>
      <c r="G103" s="22" t="n">
        <v>9408.92</v>
      </c>
      <c r="H103" s="10" t="n">
        <v>10000</v>
      </c>
      <c r="I103" s="23"/>
      <c r="J103" s="10" t="str">
        <f aca="false">IF(I103="","",I103-G103)</f>
        <v/>
      </c>
      <c r="K103" s="12" t="str">
        <f aca="false">IF(OR(I103="",I103=0),"",J103/I103)</f>
        <v/>
      </c>
      <c r="L103" s="24" t="str">
        <f aca="false">IF(I103="","Set price",IF(I103&lt;G103,"LOSS",IF(I103=G103,"Break-even","OK")))</f>
        <v>Set price</v>
      </c>
      <c r="M103" s="10" t="n">
        <f aca="false">IF(F103="",CEILING(G103*(1+Settings!$B$4),5),MIN(F103,CEILING(G103*(1+Settings!$B$4),5)))</f>
        <v>9880</v>
      </c>
      <c r="N103" s="12" t="n">
        <f aca="false">IF(F103="","",1-G103/F103)</f>
        <v>0.0591079999999999</v>
      </c>
    </row>
    <row r="104" customFormat="false" ht="15" hidden="false" customHeight="false" outlineLevel="0" collapsed="false">
      <c r="A104" s="14" t="s">
        <v>34</v>
      </c>
      <c r="B104" s="9" t="s">
        <v>102</v>
      </c>
      <c r="C104" s="9" t="s">
        <v>261</v>
      </c>
      <c r="D104" s="9" t="s">
        <v>69</v>
      </c>
      <c r="E104" s="21" t="s">
        <v>262</v>
      </c>
      <c r="F104" s="22" t="n">
        <v>15000</v>
      </c>
      <c r="G104" s="22" t="n">
        <v>14113.42</v>
      </c>
      <c r="H104" s="10" t="n">
        <v>15000</v>
      </c>
      <c r="I104" s="23"/>
      <c r="J104" s="10" t="str">
        <f aca="false">IF(I104="","",I104-G104)</f>
        <v/>
      </c>
      <c r="K104" s="12" t="str">
        <f aca="false">IF(OR(I104="",I104=0),"",J104/I104)</f>
        <v/>
      </c>
      <c r="L104" s="24" t="str">
        <f aca="false">IF(I104="","Set price",IF(I104&lt;G104,"LOSS",IF(I104=G104,"Break-even","OK")))</f>
        <v>Set price</v>
      </c>
      <c r="M104" s="10" t="n">
        <f aca="false">IF(F104="",CEILING(G104*(1+Settings!$B$4),5),MIN(F104,CEILING(G104*(1+Settings!$B$4),5)))</f>
        <v>14820</v>
      </c>
      <c r="N104" s="12" t="n">
        <f aca="false">IF(F104="","",1-G104/F104)</f>
        <v>0.0591053333333333</v>
      </c>
    </row>
    <row r="105" customFormat="false" ht="15" hidden="false" customHeight="false" outlineLevel="0" collapsed="false">
      <c r="A105" s="14" t="s">
        <v>34</v>
      </c>
      <c r="B105" s="9" t="s">
        <v>102</v>
      </c>
      <c r="C105" s="9" t="s">
        <v>263</v>
      </c>
      <c r="D105" s="9" t="s">
        <v>69</v>
      </c>
      <c r="E105" s="21" t="s">
        <v>264</v>
      </c>
      <c r="F105" s="22" t="n">
        <v>20000</v>
      </c>
      <c r="G105" s="22" t="n">
        <v>18817.92</v>
      </c>
      <c r="H105" s="10" t="n">
        <v>20000</v>
      </c>
      <c r="I105" s="23"/>
      <c r="J105" s="10" t="str">
        <f aca="false">IF(I105="","",I105-G105)</f>
        <v/>
      </c>
      <c r="K105" s="12" t="str">
        <f aca="false">IF(OR(I105="",I105=0),"",J105/I105)</f>
        <v/>
      </c>
      <c r="L105" s="24" t="str">
        <f aca="false">IF(I105="","Set price",IF(I105&lt;G105,"LOSS",IF(I105=G105,"Break-even","OK")))</f>
        <v>Set price</v>
      </c>
      <c r="M105" s="10" t="n">
        <f aca="false">IF(F105="",CEILING(G105*(1+Settings!$B$4),5),MIN(F105,CEILING(G105*(1+Settings!$B$4),5)))</f>
        <v>19760</v>
      </c>
      <c r="N105" s="12" t="n">
        <f aca="false">IF(F105="","",1-G105/F105)</f>
        <v>0.059104</v>
      </c>
    </row>
    <row r="106" customFormat="false" ht="15" hidden="false" customHeight="false" outlineLevel="0" collapsed="false">
      <c r="A106" s="14" t="s">
        <v>34</v>
      </c>
      <c r="B106" s="9" t="s">
        <v>102</v>
      </c>
      <c r="C106" s="9" t="s">
        <v>265</v>
      </c>
      <c r="D106" s="9" t="s">
        <v>69</v>
      </c>
      <c r="E106" s="21" t="s">
        <v>266</v>
      </c>
      <c r="F106" s="22" t="n">
        <v>30000</v>
      </c>
      <c r="G106" s="22" t="n">
        <v>28226.92</v>
      </c>
      <c r="H106" s="10" t="n">
        <v>30000</v>
      </c>
      <c r="I106" s="23"/>
      <c r="J106" s="10" t="str">
        <f aca="false">IF(I106="","",I106-G106)</f>
        <v/>
      </c>
      <c r="K106" s="12" t="str">
        <f aca="false">IF(OR(I106="",I106=0),"",J106/I106)</f>
        <v/>
      </c>
      <c r="L106" s="24" t="str">
        <f aca="false">IF(I106="","Set price",IF(I106&lt;G106,"LOSS",IF(I106=G106,"Break-even","OK")))</f>
        <v>Set price</v>
      </c>
      <c r="M106" s="10" t="n">
        <f aca="false">IF(F106="",CEILING(G106*(1+Settings!$B$4),5),MIN(F106,CEILING(G106*(1+Settings!$B$4),5)))</f>
        <v>29640</v>
      </c>
      <c r="N106" s="12" t="n">
        <f aca="false">IF(F106="","",1-G106/F106)</f>
        <v>0.0591026666666668</v>
      </c>
    </row>
    <row r="107" customFormat="false" ht="15" hidden="false" customHeight="false" outlineLevel="0" collapsed="false">
      <c r="A107" s="14" t="s">
        <v>34</v>
      </c>
      <c r="B107" s="9" t="s">
        <v>102</v>
      </c>
      <c r="C107" s="9" t="s">
        <v>267</v>
      </c>
      <c r="D107" s="9" t="s">
        <v>69</v>
      </c>
      <c r="E107" s="21" t="s">
        <v>268</v>
      </c>
      <c r="F107" s="22" t="n">
        <v>40000</v>
      </c>
      <c r="G107" s="22" t="n">
        <v>37635.92</v>
      </c>
      <c r="H107" s="10" t="n">
        <v>40000</v>
      </c>
      <c r="I107" s="23"/>
      <c r="J107" s="10" t="str">
        <f aca="false">IF(I107="","",I107-G107)</f>
        <v/>
      </c>
      <c r="K107" s="12" t="str">
        <f aca="false">IF(OR(I107="",I107=0),"",J107/I107)</f>
        <v/>
      </c>
      <c r="L107" s="24" t="str">
        <f aca="false">IF(I107="","Set price",IF(I107&lt;G107,"LOSS",IF(I107=G107,"Break-even","OK")))</f>
        <v>Set price</v>
      </c>
      <c r="M107" s="10" t="n">
        <f aca="false">IF(F107="",CEILING(G107*(1+Settings!$B$4),5),MIN(F107,CEILING(G107*(1+Settings!$B$4),5)))</f>
        <v>39520</v>
      </c>
      <c r="N107" s="12" t="n">
        <f aca="false">IF(F107="","",1-G107/F107)</f>
        <v>0.0591020000000001</v>
      </c>
    </row>
    <row r="108" customFormat="false" ht="15" hidden="false" customHeight="false" outlineLevel="0" collapsed="false">
      <c r="A108" s="14" t="s">
        <v>34</v>
      </c>
      <c r="B108" s="9" t="s">
        <v>102</v>
      </c>
      <c r="C108" s="9" t="s">
        <v>269</v>
      </c>
      <c r="D108" s="9" t="s">
        <v>145</v>
      </c>
      <c r="E108" s="21" t="s">
        <v>270</v>
      </c>
      <c r="F108" s="22" t="n">
        <v>50000</v>
      </c>
      <c r="G108" s="22" t="n">
        <v>47044.92</v>
      </c>
      <c r="H108" s="10" t="n">
        <v>50000</v>
      </c>
      <c r="I108" s="23"/>
      <c r="J108" s="10" t="str">
        <f aca="false">IF(I108="","",I108-G108)</f>
        <v/>
      </c>
      <c r="K108" s="12" t="str">
        <f aca="false">IF(OR(I108="",I108=0),"",J108/I108)</f>
        <v/>
      </c>
      <c r="L108" s="24" t="str">
        <f aca="false">IF(I108="","Set price",IF(I108&lt;G108,"LOSS",IF(I108=G108,"Break-even","OK")))</f>
        <v>Set price</v>
      </c>
      <c r="M108" s="10" t="n">
        <f aca="false">IF(F108="",CEILING(G108*(1+Settings!$B$4),5),MIN(F108,CEILING(G108*(1+Settings!$B$4),5)))</f>
        <v>49400</v>
      </c>
      <c r="N108" s="12" t="n">
        <f aca="false">IF(F108="","",1-G108/F108)</f>
        <v>0.0591016000000001</v>
      </c>
    </row>
    <row r="109" customFormat="false" ht="15" hidden="false" customHeight="false" outlineLevel="0" collapsed="false">
      <c r="A109" s="14" t="s">
        <v>34</v>
      </c>
      <c r="B109" s="9" t="s">
        <v>102</v>
      </c>
      <c r="C109" s="9" t="s">
        <v>271</v>
      </c>
      <c r="D109" s="9" t="s">
        <v>145</v>
      </c>
      <c r="E109" s="21" t="s">
        <v>272</v>
      </c>
      <c r="F109" s="22" t="n">
        <v>60000</v>
      </c>
      <c r="G109" s="22" t="n">
        <v>56453.92</v>
      </c>
      <c r="H109" s="10" t="n">
        <v>60000</v>
      </c>
      <c r="I109" s="23"/>
      <c r="J109" s="10" t="str">
        <f aca="false">IF(I109="","",I109-G109)</f>
        <v/>
      </c>
      <c r="K109" s="12" t="str">
        <f aca="false">IF(OR(I109="",I109=0),"",J109/I109)</f>
        <v/>
      </c>
      <c r="L109" s="24" t="str">
        <f aca="false">IF(I109="","Set price",IF(I109&lt;G109,"LOSS",IF(I109=G109,"Break-even","OK")))</f>
        <v>Set price</v>
      </c>
      <c r="M109" s="10" t="n">
        <f aca="false">IF(F109="",CEILING(G109*(1+Settings!$B$4),5),MIN(F109,CEILING(G109*(1+Settings!$B$4),5)))</f>
        <v>59280</v>
      </c>
      <c r="N109" s="12" t="n">
        <f aca="false">IF(F109="","",1-G109/F109)</f>
        <v>0.0591013333333333</v>
      </c>
    </row>
    <row r="110" customFormat="false" ht="15" hidden="false" customHeight="false" outlineLevel="0" collapsed="false">
      <c r="A110" s="15" t="s">
        <v>35</v>
      </c>
      <c r="B110" s="9" t="s">
        <v>64</v>
      </c>
      <c r="C110" s="9" t="s">
        <v>273</v>
      </c>
      <c r="D110" s="9" t="s">
        <v>69</v>
      </c>
      <c r="E110" s="21" t="s">
        <v>274</v>
      </c>
      <c r="F110" s="22"/>
      <c r="G110" s="22" t="n">
        <v>25</v>
      </c>
      <c r="H110" s="10" t="n">
        <v>50</v>
      </c>
      <c r="I110" s="23"/>
      <c r="J110" s="10" t="str">
        <f aca="false">IF(I110="","",I110-G110)</f>
        <v/>
      </c>
      <c r="K110" s="12" t="str">
        <f aca="false">IF(OR(I110="",I110=0),"",J110/I110)</f>
        <v/>
      </c>
      <c r="L110" s="24" t="str">
        <f aca="false">IF(I110="","Set price",IF(I110&lt;G110,"LOSS",IF(I110=G110,"Break-even","OK")))</f>
        <v>Set price</v>
      </c>
      <c r="M110" s="10" t="n">
        <f aca="false">IF(F110="",CEILING(G110*(1+Settings!$B$4),5),MIN(F110,CEILING(G110*(1+Settings!$B$4),5)))</f>
        <v>30</v>
      </c>
      <c r="N110" s="12" t="str">
        <f aca="false">IF(F110="","",1-G110/F110)</f>
        <v/>
      </c>
    </row>
    <row r="111" customFormat="false" ht="15" hidden="false" customHeight="false" outlineLevel="0" collapsed="false">
      <c r="A111" s="15" t="s">
        <v>35</v>
      </c>
      <c r="B111" s="9" t="s">
        <v>64</v>
      </c>
      <c r="C111" s="9" t="s">
        <v>275</v>
      </c>
      <c r="D111" s="9" t="s">
        <v>69</v>
      </c>
      <c r="E111" s="21" t="s">
        <v>276</v>
      </c>
      <c r="F111" s="22"/>
      <c r="G111" s="22" t="n">
        <v>51</v>
      </c>
      <c r="H111" s="10" t="n">
        <v>100</v>
      </c>
      <c r="I111" s="23"/>
      <c r="J111" s="10" t="str">
        <f aca="false">IF(I111="","",I111-G111)</f>
        <v/>
      </c>
      <c r="K111" s="12" t="str">
        <f aca="false">IF(OR(I111="",I111=0),"",J111/I111)</f>
        <v/>
      </c>
      <c r="L111" s="24" t="str">
        <f aca="false">IF(I111="","Set price",IF(I111&lt;G111,"LOSS",IF(I111=G111,"Break-even","OK")))</f>
        <v>Set price</v>
      </c>
      <c r="M111" s="10" t="n">
        <f aca="false">IF(F111="",CEILING(G111*(1+Settings!$B$4),5),MIN(F111,CEILING(G111*(1+Settings!$B$4),5)))</f>
        <v>55</v>
      </c>
      <c r="N111" s="12" t="str">
        <f aca="false">IF(F111="","",1-G111/F111)</f>
        <v/>
      </c>
    </row>
    <row r="112" customFormat="false" ht="15" hidden="false" customHeight="false" outlineLevel="0" collapsed="false">
      <c r="A112" s="15" t="s">
        <v>35</v>
      </c>
      <c r="B112" s="9" t="s">
        <v>64</v>
      </c>
      <c r="C112" s="9" t="s">
        <v>277</v>
      </c>
      <c r="D112" s="9" t="s">
        <v>69</v>
      </c>
      <c r="E112" s="21" t="s">
        <v>278</v>
      </c>
      <c r="F112" s="22"/>
      <c r="G112" s="22" t="n">
        <v>153</v>
      </c>
      <c r="H112" s="10" t="n">
        <v>250</v>
      </c>
      <c r="I112" s="23"/>
      <c r="J112" s="10" t="str">
        <f aca="false">IF(I112="","",I112-G112)</f>
        <v/>
      </c>
      <c r="K112" s="12" t="str">
        <f aca="false">IF(OR(I112="",I112=0),"",J112/I112)</f>
        <v/>
      </c>
      <c r="L112" s="24" t="str">
        <f aca="false">IF(I112="","Set price",IF(I112&lt;G112,"LOSS",IF(I112=G112,"Break-even","OK")))</f>
        <v>Set price</v>
      </c>
      <c r="M112" s="10" t="n">
        <f aca="false">IF(F112="",CEILING(G112*(1+Settings!$B$4),5),MIN(F112,CEILING(G112*(1+Settings!$B$4),5)))</f>
        <v>165</v>
      </c>
      <c r="N112" s="12" t="str">
        <f aca="false">IF(F112="","",1-G112/F112)</f>
        <v/>
      </c>
    </row>
    <row r="113" customFormat="false" ht="15" hidden="false" customHeight="false" outlineLevel="0" collapsed="false">
      <c r="A113" s="15" t="s">
        <v>35</v>
      </c>
      <c r="B113" s="9" t="s">
        <v>64</v>
      </c>
      <c r="C113" s="9" t="s">
        <v>279</v>
      </c>
      <c r="D113" s="9" t="s">
        <v>69</v>
      </c>
      <c r="E113" s="21" t="s">
        <v>67</v>
      </c>
      <c r="F113" s="22"/>
      <c r="G113" s="22" t="n">
        <v>246</v>
      </c>
      <c r="H113" s="10" t="n">
        <v>350</v>
      </c>
      <c r="I113" s="23"/>
      <c r="J113" s="10" t="str">
        <f aca="false">IF(I113="","",I113-G113)</f>
        <v/>
      </c>
      <c r="K113" s="12" t="str">
        <f aca="false">IF(OR(I113="",I113=0),"",J113/I113)</f>
        <v/>
      </c>
      <c r="L113" s="24" t="str">
        <f aca="false">IF(I113="","Set price",IF(I113&lt;G113,"LOSS",IF(I113=G113,"Break-even","OK")))</f>
        <v>Set price</v>
      </c>
      <c r="M113" s="10" t="n">
        <f aca="false">IF(F113="",CEILING(G113*(1+Settings!$B$4),5),MIN(F113,CEILING(G113*(1+Settings!$B$4),5)))</f>
        <v>260</v>
      </c>
      <c r="N113" s="12" t="str">
        <f aca="false">IF(F113="","",1-G113/F113)</f>
        <v/>
      </c>
    </row>
    <row r="114" customFormat="false" ht="15" hidden="false" customHeight="false" outlineLevel="0" collapsed="false">
      <c r="A114" s="15" t="s">
        <v>35</v>
      </c>
      <c r="B114" s="9" t="s">
        <v>64</v>
      </c>
      <c r="C114" s="9" t="s">
        <v>173</v>
      </c>
      <c r="D114" s="9" t="s">
        <v>69</v>
      </c>
      <c r="E114" s="21" t="s">
        <v>72</v>
      </c>
      <c r="F114" s="22"/>
      <c r="G114" s="22" t="n">
        <v>492</v>
      </c>
      <c r="H114" s="10" t="n">
        <v>600</v>
      </c>
      <c r="I114" s="23"/>
      <c r="J114" s="10" t="str">
        <f aca="false">IF(I114="","",I114-G114)</f>
        <v/>
      </c>
      <c r="K114" s="12" t="str">
        <f aca="false">IF(OR(I114="",I114=0),"",J114/I114)</f>
        <v/>
      </c>
      <c r="L114" s="24" t="str">
        <f aca="false">IF(I114="","Set price",IF(I114&lt;G114,"LOSS",IF(I114=G114,"Break-even","OK")))</f>
        <v>Set price</v>
      </c>
      <c r="M114" s="10" t="n">
        <f aca="false">IF(F114="",CEILING(G114*(1+Settings!$B$4),5),MIN(F114,CEILING(G114*(1+Settings!$B$4),5)))</f>
        <v>520</v>
      </c>
      <c r="N114" s="12" t="str">
        <f aca="false">IF(F114="","",1-G114/F114)</f>
        <v/>
      </c>
    </row>
    <row r="115" customFormat="false" ht="15" hidden="false" customHeight="false" outlineLevel="0" collapsed="false">
      <c r="A115" s="15" t="s">
        <v>35</v>
      </c>
      <c r="B115" s="9" t="s">
        <v>64</v>
      </c>
      <c r="C115" s="9" t="s">
        <v>174</v>
      </c>
      <c r="D115" s="9" t="s">
        <v>69</v>
      </c>
      <c r="E115" s="21" t="s">
        <v>76</v>
      </c>
      <c r="F115" s="22"/>
      <c r="G115" s="22" t="n">
        <v>984</v>
      </c>
      <c r="H115" s="10" t="n">
        <v>1200</v>
      </c>
      <c r="I115" s="23"/>
      <c r="J115" s="10" t="str">
        <f aca="false">IF(I115="","",I115-G115)</f>
        <v/>
      </c>
      <c r="K115" s="12" t="str">
        <f aca="false">IF(OR(I115="",I115=0),"",J115/I115)</f>
        <v/>
      </c>
      <c r="L115" s="24" t="str">
        <f aca="false">IF(I115="","Set price",IF(I115&lt;G115,"LOSS",IF(I115=G115,"Break-even","OK")))</f>
        <v>Set price</v>
      </c>
      <c r="M115" s="10" t="n">
        <f aca="false">IF(F115="",CEILING(G115*(1+Settings!$B$4),5),MIN(F115,CEILING(G115*(1+Settings!$B$4),5)))</f>
        <v>1035</v>
      </c>
      <c r="N115" s="12" t="str">
        <f aca="false">IF(F115="","",1-G115/F115)</f>
        <v/>
      </c>
    </row>
    <row r="116" customFormat="false" ht="15" hidden="false" customHeight="false" outlineLevel="0" collapsed="false">
      <c r="A116" s="15" t="s">
        <v>35</v>
      </c>
      <c r="B116" s="9" t="s">
        <v>64</v>
      </c>
      <c r="C116" s="9" t="s">
        <v>175</v>
      </c>
      <c r="D116" s="9" t="s">
        <v>69</v>
      </c>
      <c r="E116" s="21" t="s">
        <v>80</v>
      </c>
      <c r="F116" s="22"/>
      <c r="G116" s="22" t="n">
        <v>1476</v>
      </c>
      <c r="H116" s="10" t="n">
        <v>1650</v>
      </c>
      <c r="I116" s="23"/>
      <c r="J116" s="10" t="str">
        <f aca="false">IF(I116="","",I116-G116)</f>
        <v/>
      </c>
      <c r="K116" s="12" t="str">
        <f aca="false">IF(OR(I116="",I116=0),"",J116/I116)</f>
        <v/>
      </c>
      <c r="L116" s="24" t="str">
        <f aca="false">IF(I116="","Set price",IF(I116&lt;G116,"LOSS",IF(I116=G116,"Break-even","OK")))</f>
        <v>Set price</v>
      </c>
      <c r="M116" s="10" t="n">
        <f aca="false">IF(F116="",CEILING(G116*(1+Settings!$B$4),5),MIN(F116,CEILING(G116*(1+Settings!$B$4),5)))</f>
        <v>1550</v>
      </c>
      <c r="N116" s="12" t="str">
        <f aca="false">IF(F116="","",1-G116/F116)</f>
        <v/>
      </c>
    </row>
    <row r="117" customFormat="false" ht="15" hidden="false" customHeight="false" outlineLevel="0" collapsed="false">
      <c r="A117" s="15" t="s">
        <v>35</v>
      </c>
      <c r="B117" s="9" t="s">
        <v>64</v>
      </c>
      <c r="C117" s="9" t="s">
        <v>280</v>
      </c>
      <c r="D117" s="9" t="s">
        <v>69</v>
      </c>
      <c r="E117" s="21" t="s">
        <v>281</v>
      </c>
      <c r="F117" s="22"/>
      <c r="G117" s="22" t="n">
        <v>1968</v>
      </c>
      <c r="H117" s="10" t="n">
        <v>2100</v>
      </c>
      <c r="I117" s="23"/>
      <c r="J117" s="10" t="str">
        <f aca="false">IF(I117="","",I117-G117)</f>
        <v/>
      </c>
      <c r="K117" s="12" t="str">
        <f aca="false">IF(OR(I117="",I117=0),"",J117/I117)</f>
        <v/>
      </c>
      <c r="L117" s="24" t="str">
        <f aca="false">IF(I117="","Set price",IF(I117&lt;G117,"LOSS",IF(I117=G117,"Break-even","OK")))</f>
        <v>Set price</v>
      </c>
      <c r="M117" s="10" t="n">
        <f aca="false">IF(F117="",CEILING(G117*(1+Settings!$B$4),5),MIN(F117,CEILING(G117*(1+Settings!$B$4),5)))</f>
        <v>2070</v>
      </c>
      <c r="N117" s="12" t="str">
        <f aca="false">IF(F117="","",1-G117/F117)</f>
        <v/>
      </c>
    </row>
    <row r="118" customFormat="false" ht="15" hidden="false" customHeight="false" outlineLevel="0" collapsed="false">
      <c r="A118" s="15" t="s">
        <v>35</v>
      </c>
      <c r="B118" s="9" t="s">
        <v>64</v>
      </c>
      <c r="C118" s="9" t="s">
        <v>176</v>
      </c>
      <c r="D118" s="9" t="s">
        <v>69</v>
      </c>
      <c r="E118" s="21" t="s">
        <v>177</v>
      </c>
      <c r="F118" s="22"/>
      <c r="G118" s="22" t="n">
        <v>2460</v>
      </c>
      <c r="H118" s="10" t="n">
        <v>2600</v>
      </c>
      <c r="I118" s="23"/>
      <c r="J118" s="10" t="str">
        <f aca="false">IF(I118="","",I118-G118)</f>
        <v/>
      </c>
      <c r="K118" s="12" t="str">
        <f aca="false">IF(OR(I118="",I118=0),"",J118/I118)</f>
        <v/>
      </c>
      <c r="L118" s="24" t="str">
        <f aca="false">IF(I118="","Set price",IF(I118&lt;G118,"LOSS",IF(I118=G118,"Break-even","OK")))</f>
        <v>Set price</v>
      </c>
      <c r="M118" s="10" t="n">
        <f aca="false">IF(F118="",CEILING(G118*(1+Settings!$B$4),5),MIN(F118,CEILING(G118*(1+Settings!$B$4),5)))</f>
        <v>2585</v>
      </c>
      <c r="N118" s="12" t="str">
        <f aca="false">IF(F118="","",1-G118/F118)</f>
        <v/>
      </c>
    </row>
    <row r="119" customFormat="false" ht="15" hidden="false" customHeight="false" outlineLevel="0" collapsed="false">
      <c r="A119" s="15" t="s">
        <v>35</v>
      </c>
      <c r="B119" s="9" t="s">
        <v>64</v>
      </c>
      <c r="C119" s="9" t="s">
        <v>178</v>
      </c>
      <c r="D119" s="9" t="s">
        <v>69</v>
      </c>
      <c r="E119" s="21" t="s">
        <v>179</v>
      </c>
      <c r="F119" s="22"/>
      <c r="G119" s="22" t="n">
        <v>4920</v>
      </c>
      <c r="H119" s="10" t="n">
        <v>5000</v>
      </c>
      <c r="I119" s="23"/>
      <c r="J119" s="10" t="str">
        <f aca="false">IF(I119="","",I119-G119)</f>
        <v/>
      </c>
      <c r="K119" s="12" t="str">
        <f aca="false">IF(OR(I119="",I119=0),"",J119/I119)</f>
        <v/>
      </c>
      <c r="L119" s="24" t="str">
        <f aca="false">IF(I119="","Set price",IF(I119&lt;G119,"LOSS",IF(I119=G119,"Break-even","OK")))</f>
        <v>Set price</v>
      </c>
      <c r="M119" s="10" t="n">
        <f aca="false">IF(F119="",CEILING(G119*(1+Settings!$B$4),5),MIN(F119,CEILING(G119*(1+Settings!$B$4),5)))</f>
        <v>5170</v>
      </c>
      <c r="N119" s="12" t="str">
        <f aca="false">IF(F119="","",1-G119/F119)</f>
        <v/>
      </c>
    </row>
    <row r="120" customFormat="false" ht="15" hidden="false" customHeight="false" outlineLevel="0" collapsed="false">
      <c r="A120" s="15" t="s">
        <v>35</v>
      </c>
      <c r="B120" s="9" t="s">
        <v>64</v>
      </c>
      <c r="C120" s="9" t="s">
        <v>282</v>
      </c>
      <c r="D120" s="9" t="s">
        <v>69</v>
      </c>
      <c r="E120" s="21" t="s">
        <v>283</v>
      </c>
      <c r="F120" s="22"/>
      <c r="G120" s="22" t="n">
        <v>7380</v>
      </c>
      <c r="H120" s="10" t="n">
        <v>7500</v>
      </c>
      <c r="I120" s="23"/>
      <c r="J120" s="10" t="str">
        <f aca="false">IF(I120="","",I120-G120)</f>
        <v/>
      </c>
      <c r="K120" s="12" t="str">
        <f aca="false">IF(OR(I120="",I120=0),"",J120/I120)</f>
        <v/>
      </c>
      <c r="L120" s="24" t="str">
        <f aca="false">IF(I120="","Set price",IF(I120&lt;G120,"LOSS",IF(I120=G120,"Break-even","OK")))</f>
        <v>Set price</v>
      </c>
      <c r="M120" s="10" t="n">
        <f aca="false">IF(F120="",CEILING(G120*(1+Settings!$B$4),5),MIN(F120,CEILING(G120*(1+Settings!$B$4),5)))</f>
        <v>7750</v>
      </c>
      <c r="N120" s="12" t="str">
        <f aca="false">IF(F120="","",1-G120/F120)</f>
        <v/>
      </c>
    </row>
    <row r="121" customFormat="false" ht="15" hidden="false" customHeight="false" outlineLevel="0" collapsed="false">
      <c r="A121" s="15" t="s">
        <v>35</v>
      </c>
      <c r="B121" s="9" t="s">
        <v>64</v>
      </c>
      <c r="C121" s="9" t="s">
        <v>284</v>
      </c>
      <c r="D121" s="9" t="s">
        <v>69</v>
      </c>
      <c r="E121" s="21" t="s">
        <v>285</v>
      </c>
      <c r="F121" s="22"/>
      <c r="G121" s="22" t="n">
        <v>9840</v>
      </c>
      <c r="H121" s="10" t="n">
        <v>10000</v>
      </c>
      <c r="I121" s="23"/>
      <c r="J121" s="10" t="str">
        <f aca="false">IF(I121="","",I121-G121)</f>
        <v/>
      </c>
      <c r="K121" s="12" t="str">
        <f aca="false">IF(OR(I121="",I121=0),"",J121/I121)</f>
        <v/>
      </c>
      <c r="L121" s="24" t="str">
        <f aca="false">IF(I121="","Set price",IF(I121&lt;G121,"LOSS",IF(I121=G121,"Break-even","OK")))</f>
        <v>Set price</v>
      </c>
      <c r="M121" s="10" t="n">
        <f aca="false">IF(F121="",CEILING(G121*(1+Settings!$B$4),5),MIN(F121,CEILING(G121*(1+Settings!$B$4),5)))</f>
        <v>10335</v>
      </c>
      <c r="N121" s="12" t="str">
        <f aca="false">IF(F121="","",1-G121/F121)</f>
        <v/>
      </c>
    </row>
    <row r="122" customFormat="false" ht="15" hidden="false" customHeight="false" outlineLevel="0" collapsed="false">
      <c r="A122" s="15" t="s">
        <v>35</v>
      </c>
      <c r="B122" s="9" t="s">
        <v>64</v>
      </c>
      <c r="C122" s="9" t="s">
        <v>286</v>
      </c>
      <c r="D122" s="9" t="s">
        <v>69</v>
      </c>
      <c r="E122" s="21" t="s">
        <v>287</v>
      </c>
      <c r="F122" s="22"/>
      <c r="G122" s="22" t="n">
        <v>12300</v>
      </c>
      <c r="H122" s="10" t="n">
        <v>13000</v>
      </c>
      <c r="I122" s="23"/>
      <c r="J122" s="10" t="str">
        <f aca="false">IF(I122="","",I122-G122)</f>
        <v/>
      </c>
      <c r="K122" s="12" t="str">
        <f aca="false">IF(OR(I122="",I122=0),"",J122/I122)</f>
        <v/>
      </c>
      <c r="L122" s="24" t="str">
        <f aca="false">IF(I122="","Set price",IF(I122&lt;G122,"LOSS",IF(I122=G122,"Break-even","OK")))</f>
        <v>Set price</v>
      </c>
      <c r="M122" s="10" t="n">
        <f aca="false">IF(F122="",CEILING(G122*(1+Settings!$B$4),5),MIN(F122,CEILING(G122*(1+Settings!$B$4),5)))</f>
        <v>12915</v>
      </c>
      <c r="N122" s="12" t="str">
        <f aca="false">IF(F122="","",1-G122/F122)</f>
        <v/>
      </c>
    </row>
    <row r="123" customFormat="false" ht="15" hidden="false" customHeight="false" outlineLevel="0" collapsed="false">
      <c r="A123" s="15" t="s">
        <v>35</v>
      </c>
      <c r="B123" s="9" t="s">
        <v>85</v>
      </c>
      <c r="C123" s="9" t="s">
        <v>288</v>
      </c>
      <c r="D123" s="9" t="s">
        <v>87</v>
      </c>
      <c r="E123" s="21" t="s">
        <v>88</v>
      </c>
      <c r="F123" s="22" t="n">
        <v>100</v>
      </c>
      <c r="G123" s="22" t="n">
        <v>86.49</v>
      </c>
      <c r="H123" s="10" t="n">
        <v>120</v>
      </c>
      <c r="I123" s="23"/>
      <c r="J123" s="10" t="str">
        <f aca="false">IF(I123="","",I123-G123)</f>
        <v/>
      </c>
      <c r="K123" s="12" t="str">
        <f aca="false">IF(OR(I123="",I123=0),"",J123/I123)</f>
        <v/>
      </c>
      <c r="L123" s="24" t="str">
        <f aca="false">IF(I123="","Set price",IF(I123&lt;G123,"LOSS",IF(I123=G123,"Break-even","OK")))</f>
        <v>Set price</v>
      </c>
      <c r="M123" s="10" t="n">
        <f aca="false">IF(F123="",CEILING(G123*(1+Settings!$B$4),5),MIN(F123,CEILING(G123*(1+Settings!$B$4),5)))</f>
        <v>95</v>
      </c>
      <c r="N123" s="12" t="n">
        <f aca="false">IF(F123="","",1-G123/F123)</f>
        <v>0.1351</v>
      </c>
    </row>
    <row r="124" customFormat="false" ht="15" hidden="false" customHeight="false" outlineLevel="0" collapsed="false">
      <c r="A124" s="15" t="s">
        <v>35</v>
      </c>
      <c r="B124" s="9" t="s">
        <v>85</v>
      </c>
      <c r="C124" s="9" t="s">
        <v>289</v>
      </c>
      <c r="D124" s="9" t="s">
        <v>87</v>
      </c>
      <c r="E124" s="21" t="s">
        <v>290</v>
      </c>
      <c r="F124" s="22" t="n">
        <v>150</v>
      </c>
      <c r="G124" s="22" t="n">
        <v>129.74</v>
      </c>
      <c r="H124" s="10" t="n">
        <v>170</v>
      </c>
      <c r="I124" s="23"/>
      <c r="J124" s="10" t="str">
        <f aca="false">IF(I124="","",I124-G124)</f>
        <v/>
      </c>
      <c r="K124" s="12" t="str">
        <f aca="false">IF(OR(I124="",I124=0),"",J124/I124)</f>
        <v/>
      </c>
      <c r="L124" s="24" t="str">
        <f aca="false">IF(I124="","Set price",IF(I124&lt;G124,"LOSS",IF(I124=G124,"Break-even","OK")))</f>
        <v>Set price</v>
      </c>
      <c r="M124" s="10" t="n">
        <f aca="false">IF(F124="",CEILING(G124*(1+Settings!$B$4),5),MIN(F124,CEILING(G124*(1+Settings!$B$4),5)))</f>
        <v>140</v>
      </c>
      <c r="N124" s="12" t="n">
        <f aca="false">IF(F124="","",1-G124/F124)</f>
        <v>0.135066666666667</v>
      </c>
    </row>
    <row r="125" customFormat="false" ht="15" hidden="false" customHeight="false" outlineLevel="0" collapsed="false">
      <c r="A125" s="15" t="s">
        <v>35</v>
      </c>
      <c r="B125" s="9" t="s">
        <v>85</v>
      </c>
      <c r="C125" s="9" t="s">
        <v>291</v>
      </c>
      <c r="D125" s="9" t="s">
        <v>87</v>
      </c>
      <c r="E125" s="21" t="s">
        <v>90</v>
      </c>
      <c r="F125" s="22" t="n">
        <v>200</v>
      </c>
      <c r="G125" s="22" t="n">
        <v>172.98</v>
      </c>
      <c r="H125" s="10"/>
      <c r="I125" s="23"/>
      <c r="J125" s="10" t="str">
        <f aca="false">IF(I125="","",I125-G125)</f>
        <v/>
      </c>
      <c r="K125" s="12" t="str">
        <f aca="false">IF(OR(I125="",I125=0),"",J125/I125)</f>
        <v/>
      </c>
      <c r="L125" s="24" t="str">
        <f aca="false">IF(I125="","Set price",IF(I125&lt;G125,"LOSS",IF(I125=G125,"Break-even","OK")))</f>
        <v>Set price</v>
      </c>
      <c r="M125" s="10" t="n">
        <f aca="false">IF(F125="",CEILING(G125*(1+Settings!$B$4),5),MIN(F125,CEILING(G125*(1+Settings!$B$4),5)))</f>
        <v>185</v>
      </c>
      <c r="N125" s="12" t="n">
        <f aca="false">IF(F125="","",1-G125/F125)</f>
        <v>0.1351</v>
      </c>
    </row>
    <row r="126" customFormat="false" ht="15" hidden="false" customHeight="false" outlineLevel="0" collapsed="false">
      <c r="A126" s="15" t="s">
        <v>35</v>
      </c>
      <c r="B126" s="9" t="s">
        <v>85</v>
      </c>
      <c r="C126" s="9" t="s">
        <v>292</v>
      </c>
      <c r="D126" s="9" t="s">
        <v>87</v>
      </c>
      <c r="E126" s="21" t="s">
        <v>92</v>
      </c>
      <c r="F126" s="22" t="n">
        <v>350</v>
      </c>
      <c r="G126" s="22" t="n">
        <v>302.72</v>
      </c>
      <c r="H126" s="10" t="n">
        <v>400</v>
      </c>
      <c r="I126" s="23"/>
      <c r="J126" s="10" t="str">
        <f aca="false">IF(I126="","",I126-G126)</f>
        <v/>
      </c>
      <c r="K126" s="12" t="str">
        <f aca="false">IF(OR(I126="",I126=0),"",J126/I126)</f>
        <v/>
      </c>
      <c r="L126" s="24" t="str">
        <f aca="false">IF(I126="","Set price",IF(I126&lt;G126,"LOSS",IF(I126=G126,"Break-even","OK")))</f>
        <v>Set price</v>
      </c>
      <c r="M126" s="10" t="n">
        <f aca="false">IF(F126="",CEILING(G126*(1+Settings!$B$4),5),MIN(F126,CEILING(G126*(1+Settings!$B$4),5)))</f>
        <v>320</v>
      </c>
      <c r="N126" s="12" t="n">
        <f aca="false">IF(F126="","",1-G126/F126)</f>
        <v>0.135085714285714</v>
      </c>
    </row>
    <row r="127" customFormat="false" ht="15" hidden="false" customHeight="false" outlineLevel="0" collapsed="false">
      <c r="A127" s="15" t="s">
        <v>35</v>
      </c>
      <c r="B127" s="9" t="s">
        <v>85</v>
      </c>
      <c r="C127" s="9" t="s">
        <v>293</v>
      </c>
      <c r="D127" s="9" t="s">
        <v>152</v>
      </c>
      <c r="E127" s="21" t="s">
        <v>94</v>
      </c>
      <c r="F127" s="22" t="n">
        <v>500</v>
      </c>
      <c r="G127" s="22" t="n">
        <v>432.45</v>
      </c>
      <c r="H127" s="10" t="n">
        <v>500</v>
      </c>
      <c r="I127" s="23"/>
      <c r="J127" s="10" t="str">
        <f aca="false">IF(I127="","",I127-G127)</f>
        <v/>
      </c>
      <c r="K127" s="12" t="str">
        <f aca="false">IF(OR(I127="",I127=0),"",J127/I127)</f>
        <v/>
      </c>
      <c r="L127" s="24" t="str">
        <f aca="false">IF(I127="","Set price",IF(I127&lt;G127,"LOSS",IF(I127=G127,"Break-even","OK")))</f>
        <v>Set price</v>
      </c>
      <c r="M127" s="10" t="n">
        <f aca="false">IF(F127="",CEILING(G127*(1+Settings!$B$4),5),MIN(F127,CEILING(G127*(1+Settings!$B$4),5)))</f>
        <v>455</v>
      </c>
      <c r="N127" s="12" t="n">
        <f aca="false">IF(F127="","",1-G127/F127)</f>
        <v>0.1351</v>
      </c>
    </row>
    <row r="128" customFormat="false" ht="15" hidden="false" customHeight="false" outlineLevel="0" collapsed="false">
      <c r="A128" s="15" t="s">
        <v>35</v>
      </c>
      <c r="B128" s="9" t="s">
        <v>102</v>
      </c>
      <c r="C128" s="9" t="s">
        <v>294</v>
      </c>
      <c r="D128" s="9" t="s">
        <v>66</v>
      </c>
      <c r="E128" s="21" t="s">
        <v>185</v>
      </c>
      <c r="F128" s="22" t="n">
        <v>1500</v>
      </c>
      <c r="G128" s="22" t="n">
        <v>1297.35</v>
      </c>
      <c r="H128" s="10" t="n">
        <v>1500</v>
      </c>
      <c r="I128" s="23"/>
      <c r="J128" s="10" t="str">
        <f aca="false">IF(I128="","",I128-G128)</f>
        <v/>
      </c>
      <c r="K128" s="12" t="str">
        <f aca="false">IF(OR(I128="",I128=0),"",J128/I128)</f>
        <v/>
      </c>
      <c r="L128" s="24" t="str">
        <f aca="false">IF(I128="","Set price",IF(I128&lt;G128,"LOSS",IF(I128=G128,"Break-even","OK")))</f>
        <v>Set price</v>
      </c>
      <c r="M128" s="10" t="n">
        <f aca="false">IF(F128="",CEILING(G128*(1+Settings!$B$4),5),MIN(F128,CEILING(G128*(1+Settings!$B$4),5)))</f>
        <v>1365</v>
      </c>
      <c r="N128" s="12" t="n">
        <f aca="false">IF(F128="","",1-G128/F128)</f>
        <v>0.1351</v>
      </c>
    </row>
    <row r="129" customFormat="false" ht="15" hidden="false" customHeight="false" outlineLevel="0" collapsed="false">
      <c r="A129" s="15" t="s">
        <v>35</v>
      </c>
      <c r="B129" s="9" t="s">
        <v>102</v>
      </c>
      <c r="C129" s="9" t="s">
        <v>295</v>
      </c>
      <c r="D129" s="9" t="s">
        <v>148</v>
      </c>
      <c r="E129" s="21" t="s">
        <v>296</v>
      </c>
      <c r="F129" s="22" t="n">
        <v>600</v>
      </c>
      <c r="G129" s="22" t="n">
        <v>518.94</v>
      </c>
      <c r="H129" s="10" t="n">
        <v>600</v>
      </c>
      <c r="I129" s="23"/>
      <c r="J129" s="10" t="str">
        <f aca="false">IF(I129="","",I129-G129)</f>
        <v/>
      </c>
      <c r="K129" s="12" t="str">
        <f aca="false">IF(OR(I129="",I129=0),"",J129/I129)</f>
        <v/>
      </c>
      <c r="L129" s="24" t="str">
        <f aca="false">IF(I129="","Set price",IF(I129&lt;G129,"LOSS",IF(I129=G129,"Break-even","OK")))</f>
        <v>Set price</v>
      </c>
      <c r="M129" s="10" t="n">
        <f aca="false">IF(F129="",CEILING(G129*(1+Settings!$B$4),5),MIN(F129,CEILING(G129*(1+Settings!$B$4),5)))</f>
        <v>545</v>
      </c>
      <c r="N129" s="12" t="n">
        <f aca="false">IF(F129="","",1-G129/F129)</f>
        <v>0.1351</v>
      </c>
    </row>
    <row r="130" customFormat="false" ht="15" hidden="false" customHeight="false" outlineLevel="0" collapsed="false">
      <c r="A130" s="15" t="s">
        <v>35</v>
      </c>
      <c r="B130" s="9" t="s">
        <v>102</v>
      </c>
      <c r="C130" s="9" t="s">
        <v>297</v>
      </c>
      <c r="D130" s="9" t="s">
        <v>69</v>
      </c>
      <c r="E130" s="21" t="s">
        <v>101</v>
      </c>
      <c r="F130" s="22" t="n">
        <v>1000</v>
      </c>
      <c r="G130" s="22" t="n">
        <v>864.9</v>
      </c>
      <c r="H130" s="10" t="n">
        <v>1000</v>
      </c>
      <c r="I130" s="23"/>
      <c r="J130" s="10" t="str">
        <f aca="false">IF(I130="","",I130-G130)</f>
        <v/>
      </c>
      <c r="K130" s="12" t="str">
        <f aca="false">IF(OR(I130="",I130=0),"",J130/I130)</f>
        <v/>
      </c>
      <c r="L130" s="24" t="str">
        <f aca="false">IF(I130="","Set price",IF(I130&lt;G130,"LOSS",IF(I130=G130,"Break-even","OK")))</f>
        <v>Set price</v>
      </c>
      <c r="M130" s="10" t="n">
        <f aca="false">IF(F130="",CEILING(G130*(1+Settings!$B$4),5),MIN(F130,CEILING(G130*(1+Settings!$B$4),5)))</f>
        <v>910</v>
      </c>
      <c r="N130" s="12" t="n">
        <f aca="false">IF(F130="","",1-G130/F130)</f>
        <v>0.1351</v>
      </c>
    </row>
    <row r="131" customFormat="false" ht="15" hidden="false" customHeight="false" outlineLevel="0" collapsed="false">
      <c r="A131" s="15" t="s">
        <v>35</v>
      </c>
      <c r="B131" s="9" t="s">
        <v>102</v>
      </c>
      <c r="C131" s="9" t="s">
        <v>298</v>
      </c>
      <c r="D131" s="9" t="s">
        <v>69</v>
      </c>
      <c r="E131" s="21" t="s">
        <v>299</v>
      </c>
      <c r="F131" s="22" t="n">
        <v>1200</v>
      </c>
      <c r="G131" s="22" t="n">
        <v>1037.88</v>
      </c>
      <c r="H131" s="10" t="n">
        <v>1200</v>
      </c>
      <c r="I131" s="23"/>
      <c r="J131" s="10" t="str">
        <f aca="false">IF(I131="","",I131-G131)</f>
        <v/>
      </c>
      <c r="K131" s="12" t="str">
        <f aca="false">IF(OR(I131="",I131=0),"",J131/I131)</f>
        <v/>
      </c>
      <c r="L131" s="24" t="str">
        <f aca="false">IF(I131="","Set price",IF(I131&lt;G131,"LOSS",IF(I131=G131,"Break-even","OK")))</f>
        <v>Set price</v>
      </c>
      <c r="M131" s="10" t="n">
        <f aca="false">IF(F131="",CEILING(G131*(1+Settings!$B$4),5),MIN(F131,CEILING(G131*(1+Settings!$B$4),5)))</f>
        <v>1090</v>
      </c>
      <c r="N131" s="12" t="n">
        <f aca="false">IF(F131="","",1-G131/F131)</f>
        <v>0.1351</v>
      </c>
    </row>
    <row r="132" customFormat="false" ht="15" hidden="false" customHeight="false" outlineLevel="0" collapsed="false">
      <c r="A132" s="15" t="s">
        <v>35</v>
      </c>
      <c r="B132" s="9" t="s">
        <v>102</v>
      </c>
      <c r="C132" s="9" t="s">
        <v>300</v>
      </c>
      <c r="D132" s="9" t="s">
        <v>69</v>
      </c>
      <c r="E132" s="21" t="s">
        <v>118</v>
      </c>
      <c r="F132" s="22" t="n">
        <v>2000</v>
      </c>
      <c r="G132" s="22" t="n">
        <v>1729.8</v>
      </c>
      <c r="H132" s="10" t="n">
        <v>2000</v>
      </c>
      <c r="I132" s="23"/>
      <c r="J132" s="10" t="str">
        <f aca="false">IF(I132="","",I132-G132)</f>
        <v/>
      </c>
      <c r="K132" s="12" t="str">
        <f aca="false">IF(OR(I132="",I132=0),"",J132/I132)</f>
        <v/>
      </c>
      <c r="L132" s="24" t="str">
        <f aca="false">IF(I132="","Set price",IF(I132&lt;G132,"LOSS",IF(I132=G132,"Break-even","OK")))</f>
        <v>Set price</v>
      </c>
      <c r="M132" s="10" t="n">
        <f aca="false">IF(F132="",CEILING(G132*(1+Settings!$B$4),5),MIN(F132,CEILING(G132*(1+Settings!$B$4),5)))</f>
        <v>1820</v>
      </c>
      <c r="N132" s="12" t="n">
        <f aca="false">IF(F132="","",1-G132/F132)</f>
        <v>0.1351</v>
      </c>
    </row>
    <row r="133" customFormat="false" ht="15" hidden="false" customHeight="false" outlineLevel="0" collapsed="false">
      <c r="A133" s="15" t="s">
        <v>35</v>
      </c>
      <c r="B133" s="9" t="s">
        <v>102</v>
      </c>
      <c r="C133" s="9" t="s">
        <v>301</v>
      </c>
      <c r="D133" s="9" t="s">
        <v>69</v>
      </c>
      <c r="E133" s="21" t="s">
        <v>112</v>
      </c>
      <c r="F133" s="22" t="n">
        <v>2500</v>
      </c>
      <c r="G133" s="22" t="n">
        <v>2162.25</v>
      </c>
      <c r="H133" s="10" t="n">
        <v>2500</v>
      </c>
      <c r="I133" s="23"/>
      <c r="J133" s="10" t="str">
        <f aca="false">IF(I133="","",I133-G133)</f>
        <v/>
      </c>
      <c r="K133" s="12" t="str">
        <f aca="false">IF(OR(I133="",I133=0),"",J133/I133)</f>
        <v/>
      </c>
      <c r="L133" s="24" t="str">
        <f aca="false">IF(I133="","Set price",IF(I133&lt;G133,"LOSS",IF(I133=G133,"Break-even","OK")))</f>
        <v>Set price</v>
      </c>
      <c r="M133" s="10" t="n">
        <f aca="false">IF(F133="",CEILING(G133*(1+Settings!$B$4),5),MIN(F133,CEILING(G133*(1+Settings!$B$4),5)))</f>
        <v>2275</v>
      </c>
      <c r="N133" s="12" t="n">
        <f aca="false">IF(F133="","",1-G133/F133)</f>
        <v>0.1351</v>
      </c>
    </row>
    <row r="134" customFormat="false" ht="15" hidden="false" customHeight="false" outlineLevel="0" collapsed="false">
      <c r="A134" s="15" t="s">
        <v>35</v>
      </c>
      <c r="B134" s="9" t="s">
        <v>102</v>
      </c>
      <c r="C134" s="9" t="s">
        <v>302</v>
      </c>
      <c r="D134" s="9" t="s">
        <v>69</v>
      </c>
      <c r="E134" s="21" t="s">
        <v>189</v>
      </c>
      <c r="F134" s="22" t="n">
        <v>3000</v>
      </c>
      <c r="G134" s="22" t="n">
        <v>2594.7</v>
      </c>
      <c r="H134" s="10" t="n">
        <v>3000</v>
      </c>
      <c r="I134" s="23"/>
      <c r="J134" s="10" t="str">
        <f aca="false">IF(I134="","",I134-G134)</f>
        <v/>
      </c>
      <c r="K134" s="12" t="str">
        <f aca="false">IF(OR(I134="",I134=0),"",J134/I134)</f>
        <v/>
      </c>
      <c r="L134" s="24" t="str">
        <f aca="false">IF(I134="","Set price",IF(I134&lt;G134,"LOSS",IF(I134=G134,"Break-even","OK")))</f>
        <v>Set price</v>
      </c>
      <c r="M134" s="10" t="n">
        <f aca="false">IF(F134="",CEILING(G134*(1+Settings!$B$4),5),MIN(F134,CEILING(G134*(1+Settings!$B$4),5)))</f>
        <v>2725</v>
      </c>
      <c r="N134" s="12" t="n">
        <f aca="false">IF(F134="","",1-G134/F134)</f>
        <v>0.1351</v>
      </c>
    </row>
    <row r="135" customFormat="false" ht="15" hidden="false" customHeight="false" outlineLevel="0" collapsed="false">
      <c r="A135" s="15" t="s">
        <v>35</v>
      </c>
      <c r="B135" s="9" t="s">
        <v>102</v>
      </c>
      <c r="C135" s="9" t="s">
        <v>303</v>
      </c>
      <c r="D135" s="9" t="s">
        <v>69</v>
      </c>
      <c r="E135" s="21" t="s">
        <v>191</v>
      </c>
      <c r="F135" s="22" t="n">
        <v>4000</v>
      </c>
      <c r="G135" s="22" t="n">
        <v>3459.6</v>
      </c>
      <c r="H135" s="10" t="n">
        <v>4000</v>
      </c>
      <c r="I135" s="23"/>
      <c r="J135" s="10" t="str">
        <f aca="false">IF(I135="","",I135-G135)</f>
        <v/>
      </c>
      <c r="K135" s="12" t="str">
        <f aca="false">IF(OR(I135="",I135=0),"",J135/I135)</f>
        <v/>
      </c>
      <c r="L135" s="24" t="str">
        <f aca="false">IF(I135="","Set price",IF(I135&lt;G135,"LOSS",IF(I135=G135,"Break-even","OK")))</f>
        <v>Set price</v>
      </c>
      <c r="M135" s="10" t="n">
        <f aca="false">IF(F135="",CEILING(G135*(1+Settings!$B$4),5),MIN(F135,CEILING(G135*(1+Settings!$B$4),5)))</f>
        <v>3635</v>
      </c>
      <c r="N135" s="12" t="n">
        <f aca="false">IF(F135="","",1-G135/F135)</f>
        <v>0.1351</v>
      </c>
    </row>
    <row r="136" customFormat="false" ht="15" hidden="false" customHeight="false" outlineLevel="0" collapsed="false">
      <c r="A136" s="15" t="s">
        <v>35</v>
      </c>
      <c r="B136" s="9" t="s">
        <v>102</v>
      </c>
      <c r="C136" s="9" t="s">
        <v>304</v>
      </c>
      <c r="D136" s="9" t="s">
        <v>69</v>
      </c>
      <c r="E136" s="21" t="s">
        <v>143</v>
      </c>
      <c r="F136" s="22" t="n">
        <v>5000</v>
      </c>
      <c r="G136" s="22" t="n">
        <v>4324.5</v>
      </c>
      <c r="H136" s="10" t="n">
        <v>5000</v>
      </c>
      <c r="I136" s="23"/>
      <c r="J136" s="10" t="str">
        <f aca="false">IF(I136="","",I136-G136)</f>
        <v/>
      </c>
      <c r="K136" s="12" t="str">
        <f aca="false">IF(OR(I136="",I136=0),"",J136/I136)</f>
        <v/>
      </c>
      <c r="L136" s="24" t="str">
        <f aca="false">IF(I136="","Set price",IF(I136&lt;G136,"LOSS",IF(I136=G136,"Break-even","OK")))</f>
        <v>Set price</v>
      </c>
      <c r="M136" s="10" t="n">
        <f aca="false">IF(F136="",CEILING(G136*(1+Settings!$B$4),5),MIN(F136,CEILING(G136*(1+Settings!$B$4),5)))</f>
        <v>4545</v>
      </c>
      <c r="N136" s="12" t="n">
        <f aca="false">IF(F136="","",1-G136/F136)</f>
        <v>0.1351</v>
      </c>
    </row>
    <row r="137" customFormat="false" ht="15" hidden="false" customHeight="false" outlineLevel="0" collapsed="false">
      <c r="A137" s="15" t="s">
        <v>35</v>
      </c>
      <c r="B137" s="9" t="s">
        <v>102</v>
      </c>
      <c r="C137" s="9" t="s">
        <v>192</v>
      </c>
      <c r="D137" s="9" t="s">
        <v>69</v>
      </c>
      <c r="E137" s="21" t="s">
        <v>305</v>
      </c>
      <c r="F137" s="22" t="n">
        <v>12000</v>
      </c>
      <c r="G137" s="22" t="n">
        <v>10378.8</v>
      </c>
      <c r="H137" s="10" t="n">
        <v>11800</v>
      </c>
      <c r="I137" s="23"/>
      <c r="J137" s="10" t="str">
        <f aca="false">IF(I137="","",I137-G137)</f>
        <v/>
      </c>
      <c r="K137" s="12" t="str">
        <f aca="false">IF(OR(I137="",I137=0),"",J137/I137)</f>
        <v/>
      </c>
      <c r="L137" s="24" t="str">
        <f aca="false">IF(I137="","Set price",IF(I137&lt;G137,"LOSS",IF(I137=G137,"Break-even","OK")))</f>
        <v>Set price</v>
      </c>
      <c r="M137" s="10" t="n">
        <f aca="false">IF(F137="",CEILING(G137*(1+Settings!$B$4),5),MIN(F137,CEILING(G137*(1+Settings!$B$4),5)))</f>
        <v>10900</v>
      </c>
      <c r="N137" s="12" t="n">
        <f aca="false">IF(F137="","",1-G137/F137)</f>
        <v>0.1351</v>
      </c>
    </row>
    <row r="138" customFormat="false" ht="15" hidden="false" customHeight="false" outlineLevel="0" collapsed="false">
      <c r="A138" s="15" t="s">
        <v>35</v>
      </c>
      <c r="B138" s="9" t="s">
        <v>102</v>
      </c>
      <c r="C138" s="9" t="s">
        <v>306</v>
      </c>
      <c r="D138" s="9" t="s">
        <v>69</v>
      </c>
      <c r="E138" s="21" t="s">
        <v>307</v>
      </c>
      <c r="F138" s="22" t="n">
        <v>18500</v>
      </c>
      <c r="G138" s="22" t="n">
        <v>16000.65</v>
      </c>
      <c r="H138" s="10" t="n">
        <v>18300</v>
      </c>
      <c r="I138" s="23"/>
      <c r="J138" s="10" t="str">
        <f aca="false">IF(I138="","",I138-G138)</f>
        <v/>
      </c>
      <c r="K138" s="12" t="str">
        <f aca="false">IF(OR(I138="",I138=0),"",J138/I138)</f>
        <v/>
      </c>
      <c r="L138" s="24" t="str">
        <f aca="false">IF(I138="","Set price",IF(I138&lt;G138,"LOSS",IF(I138=G138,"Break-even","OK")))</f>
        <v>Set price</v>
      </c>
      <c r="M138" s="10" t="n">
        <f aca="false">IF(F138="",CEILING(G138*(1+Settings!$B$4),5),MIN(F138,CEILING(G138*(1+Settings!$B$4),5)))</f>
        <v>16805</v>
      </c>
      <c r="N138" s="12" t="n">
        <f aca="false">IF(F138="","",1-G138/F138)</f>
        <v>0.1351</v>
      </c>
    </row>
    <row r="139" customFormat="false" ht="15" hidden="false" customHeight="false" outlineLevel="0" collapsed="false">
      <c r="A139" s="15" t="s">
        <v>35</v>
      </c>
      <c r="B139" s="9" t="s">
        <v>102</v>
      </c>
      <c r="C139" s="9" t="s">
        <v>308</v>
      </c>
      <c r="D139" s="9" t="s">
        <v>69</v>
      </c>
      <c r="E139" s="21" t="s">
        <v>200</v>
      </c>
      <c r="F139" s="22" t="n">
        <v>20000</v>
      </c>
      <c r="G139" s="22" t="n">
        <v>17298</v>
      </c>
      <c r="H139" s="10" t="n">
        <v>20000</v>
      </c>
      <c r="I139" s="23"/>
      <c r="J139" s="10" t="str">
        <f aca="false">IF(I139="","",I139-G139)</f>
        <v/>
      </c>
      <c r="K139" s="12" t="str">
        <f aca="false">IF(OR(I139="",I139=0),"",J139/I139)</f>
        <v/>
      </c>
      <c r="L139" s="24" t="str">
        <f aca="false">IF(I139="","Set price",IF(I139&lt;G139,"LOSS",IF(I139=G139,"Break-even","OK")))</f>
        <v>Set price</v>
      </c>
      <c r="M139" s="10" t="n">
        <f aca="false">IF(F139="",CEILING(G139*(1+Settings!$B$4),5),MIN(F139,CEILING(G139*(1+Settings!$B$4),5)))</f>
        <v>18165</v>
      </c>
      <c r="N139" s="12" t="n">
        <f aca="false">IF(F139="","",1-G139/F139)</f>
        <v>0.1351</v>
      </c>
    </row>
    <row r="140" customFormat="false" ht="15" hidden="false" customHeight="false" outlineLevel="0" collapsed="false">
      <c r="A140" s="15" t="s">
        <v>35</v>
      </c>
      <c r="B140" s="9" t="s">
        <v>102</v>
      </c>
      <c r="C140" s="9" t="s">
        <v>309</v>
      </c>
      <c r="D140" s="9" t="s">
        <v>140</v>
      </c>
      <c r="E140" s="21" t="s">
        <v>209</v>
      </c>
      <c r="F140" s="22" t="n">
        <v>30000</v>
      </c>
      <c r="G140" s="22" t="n">
        <v>25947</v>
      </c>
      <c r="H140" s="10" t="n">
        <v>30000</v>
      </c>
      <c r="I140" s="23"/>
      <c r="J140" s="10" t="str">
        <f aca="false">IF(I140="","",I140-G140)</f>
        <v/>
      </c>
      <c r="K140" s="12" t="str">
        <f aca="false">IF(OR(I140="",I140=0),"",J140/I140)</f>
        <v/>
      </c>
      <c r="L140" s="24" t="str">
        <f aca="false">IF(I140="","Set price",IF(I140&lt;G140,"LOSS",IF(I140=G140,"Break-even","OK")))</f>
        <v>Set price</v>
      </c>
      <c r="M140" s="10" t="n">
        <f aca="false">IF(F140="",CEILING(G140*(1+Settings!$B$4),5),MIN(F140,CEILING(G140*(1+Settings!$B$4),5)))</f>
        <v>27245</v>
      </c>
      <c r="N140" s="12" t="n">
        <f aca="false">IF(F140="","",1-G140/F140)</f>
        <v>0.1351</v>
      </c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customFormat="false" ht="15" hidden="false" customHeight="false" outlineLevel="0" collapsed="false">
      <c r="A142" s="3" t="s">
        <v>310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</sheetData>
  <autoFilter ref="A4:N140"/>
  <conditionalFormatting sqref="L5:L140">
    <cfRule type="cellIs" priority="2" operator="equal" aboveAverage="0" equalAverage="0" bottom="0" percent="0" rank="0" text="" dxfId="13">
      <formula>"LOSS"</formula>
    </cfRule>
    <cfRule type="cellIs" priority="3" operator="equal" aboveAverage="0" equalAverage="0" bottom="0" percent="0" rank="0" text="" dxfId="14">
      <formula>"OK"</formula>
    </cfRule>
    <cfRule type="cellIs" priority="4" operator="equal" aboveAverage="0" equalAverage="0" bottom="0" percent="0" rank="0" text="" dxfId="15">
      <formula>"Set price"</formula>
    </cfRule>
  </conditionalFormatting>
  <dataValidations count="1">
    <dataValidation allowBlank="true" error="Enter a naira amount (0 or more)." errorStyle="stop" errorTitle="Sale price" operator="greaterThanOrEqual" showDropDown="false" showErrorMessage="false" showInputMessage="false" sqref="I5:I14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FE0"/>
    <pageSetUpPr fitToPage="false"/>
  </sheetPr>
  <dimension ref="A1:L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3"/>
  </cols>
  <sheetData>
    <row r="1" customFormat="false" ht="18.55" hidden="false" customHeight="false" outlineLevel="0" collapsed="false">
      <c r="A1" s="1" t="s">
        <v>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312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42" hidden="false" customHeight="true" outlineLevel="0" collapsed="false">
      <c r="A4" s="7" t="s">
        <v>24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313</v>
      </c>
      <c r="G4" s="20" t="s">
        <v>314</v>
      </c>
      <c r="H4" s="7" t="s">
        <v>315</v>
      </c>
      <c r="I4" s="7" t="s">
        <v>60</v>
      </c>
      <c r="J4" s="7" t="s">
        <v>61</v>
      </c>
      <c r="K4" s="7" t="s">
        <v>316</v>
      </c>
      <c r="L4" s="7" t="s">
        <v>62</v>
      </c>
    </row>
    <row r="5" customFormat="false" ht="15" hidden="false" customHeight="false" outlineLevel="0" collapsed="false">
      <c r="A5" s="8" t="s">
        <v>32</v>
      </c>
      <c r="B5" s="9" t="s">
        <v>64</v>
      </c>
      <c r="C5" s="9" t="s">
        <v>65</v>
      </c>
      <c r="D5" s="9" t="s">
        <v>66</v>
      </c>
      <c r="E5" s="21" t="s">
        <v>67</v>
      </c>
      <c r="F5" s="25" t="n">
        <f aca="false">'Data Plans'!G5</f>
        <v>297</v>
      </c>
      <c r="G5" s="23"/>
      <c r="H5" s="10" t="str">
        <f aca="false">IF(G5="","",G5-F5)</f>
        <v/>
      </c>
      <c r="I5" s="12" t="str">
        <f aca="false">IF(OR(G5="",G5=0),"",H5/G5)</f>
        <v/>
      </c>
      <c r="J5" s="24" t="str">
        <f aca="false">IF(G5="","Set price",IF(G5&lt;F5,"LOSS",IF(G5=F5,"Break-even","OK")))</f>
        <v>Set price</v>
      </c>
      <c r="K5" s="10" t="str">
        <f aca="false">IF(H5="","",H5*100)</f>
        <v/>
      </c>
      <c r="L5" s="10" t="n">
        <f aca="false">CEILING(F5*(1+Settings!$B$4),5)</f>
        <v>315</v>
      </c>
    </row>
    <row r="6" customFormat="false" ht="15" hidden="false" customHeight="false" outlineLevel="0" collapsed="false">
      <c r="A6" s="8" t="s">
        <v>32</v>
      </c>
      <c r="B6" s="9" t="s">
        <v>64</v>
      </c>
      <c r="C6" s="9" t="s">
        <v>68</v>
      </c>
      <c r="D6" s="9" t="s">
        <v>69</v>
      </c>
      <c r="E6" s="21" t="s">
        <v>70</v>
      </c>
      <c r="F6" s="25" t="n">
        <f aca="false">'Data Plans'!G6</f>
        <v>307</v>
      </c>
      <c r="G6" s="23"/>
      <c r="H6" s="10" t="str">
        <f aca="false">IF(G6="","",G6-F6)</f>
        <v/>
      </c>
      <c r="I6" s="12" t="str">
        <f aca="false">IF(OR(G6="",G6=0),"",H6/G6)</f>
        <v/>
      </c>
      <c r="J6" s="24" t="str">
        <f aca="false">IF(G6="","Set price",IF(G6&lt;F6,"LOSS",IF(G6=F6,"Break-even","OK")))</f>
        <v>Set price</v>
      </c>
      <c r="K6" s="10" t="str">
        <f aca="false">IF(H6="","",H6*100)</f>
        <v/>
      </c>
      <c r="L6" s="10" t="n">
        <f aca="false">CEILING(F6*(1+Settings!$B$4),5)</f>
        <v>325</v>
      </c>
    </row>
    <row r="7" customFormat="false" ht="15" hidden="false" customHeight="false" outlineLevel="0" collapsed="false">
      <c r="A7" s="8" t="s">
        <v>32</v>
      </c>
      <c r="B7" s="9" t="s">
        <v>64</v>
      </c>
      <c r="C7" s="9" t="s">
        <v>71</v>
      </c>
      <c r="D7" s="9" t="s">
        <v>66</v>
      </c>
      <c r="E7" s="21" t="s">
        <v>72</v>
      </c>
      <c r="F7" s="25" t="n">
        <f aca="false">'Data Plans'!G7</f>
        <v>410</v>
      </c>
      <c r="G7" s="23"/>
      <c r="H7" s="10" t="str">
        <f aca="false">IF(G7="","",G7-F7)</f>
        <v/>
      </c>
      <c r="I7" s="12" t="str">
        <f aca="false">IF(OR(G7="",G7=0),"",H7/G7)</f>
        <v/>
      </c>
      <c r="J7" s="24" t="str">
        <f aca="false">IF(G7="","Set price",IF(G7&lt;F7,"LOSS",IF(G7=F7,"Break-even","OK")))</f>
        <v>Set price</v>
      </c>
      <c r="K7" s="10" t="str">
        <f aca="false">IF(H7="","",H7*100)</f>
        <v/>
      </c>
      <c r="L7" s="10" t="n">
        <f aca="false">CEILING(F7*(1+Settings!$B$4),5)</f>
        <v>435</v>
      </c>
    </row>
    <row r="8" customFormat="false" ht="15" hidden="false" customHeight="false" outlineLevel="0" collapsed="false">
      <c r="A8" s="8" t="s">
        <v>32</v>
      </c>
      <c r="B8" s="9" t="s">
        <v>64</v>
      </c>
      <c r="C8" s="9" t="s">
        <v>73</v>
      </c>
      <c r="D8" s="9" t="s">
        <v>69</v>
      </c>
      <c r="E8" s="21" t="s">
        <v>74</v>
      </c>
      <c r="F8" s="25" t="n">
        <f aca="false">'Data Plans'!G8</f>
        <v>563</v>
      </c>
      <c r="G8" s="23"/>
      <c r="H8" s="10" t="str">
        <f aca="false">IF(G8="","",G8-F8)</f>
        <v/>
      </c>
      <c r="I8" s="12" t="str">
        <f aca="false">IF(OR(G8="",G8=0),"",H8/G8)</f>
        <v/>
      </c>
      <c r="J8" s="24" t="str">
        <f aca="false">IF(G8="","Set price",IF(G8&lt;F8,"LOSS",IF(G8=F8,"Break-even","OK")))</f>
        <v>Set price</v>
      </c>
      <c r="K8" s="10" t="str">
        <f aca="false">IF(H8="","",H8*100)</f>
        <v/>
      </c>
      <c r="L8" s="10" t="n">
        <f aca="false">CEILING(F8*(1+Settings!$B$4),5)</f>
        <v>595</v>
      </c>
    </row>
    <row r="9" customFormat="false" ht="15" hidden="false" customHeight="false" outlineLevel="0" collapsed="false">
      <c r="A9" s="8" t="s">
        <v>32</v>
      </c>
      <c r="B9" s="9" t="s">
        <v>64</v>
      </c>
      <c r="C9" s="9" t="s">
        <v>75</v>
      </c>
      <c r="D9" s="9" t="s">
        <v>66</v>
      </c>
      <c r="E9" s="21" t="s">
        <v>76</v>
      </c>
      <c r="F9" s="25" t="n">
        <f aca="false">'Data Plans'!G9</f>
        <v>820</v>
      </c>
      <c r="G9" s="23"/>
      <c r="H9" s="10" t="str">
        <f aca="false">IF(G9="","",G9-F9)</f>
        <v/>
      </c>
      <c r="I9" s="12" t="str">
        <f aca="false">IF(OR(G9="",G9=0),"",H9/G9)</f>
        <v/>
      </c>
      <c r="J9" s="24" t="str">
        <f aca="false">IF(G9="","Set price",IF(G9&lt;F9,"LOSS",IF(G9=F9,"Break-even","OK")))</f>
        <v>Set price</v>
      </c>
      <c r="K9" s="10" t="str">
        <f aca="false">IF(H9="","",H9*100)</f>
        <v/>
      </c>
      <c r="L9" s="10" t="n">
        <f aca="false">CEILING(F9*(1+Settings!$B$4),5)</f>
        <v>865</v>
      </c>
    </row>
    <row r="10" customFormat="false" ht="15" hidden="false" customHeight="false" outlineLevel="0" collapsed="false">
      <c r="A10" s="8" t="s">
        <v>32</v>
      </c>
      <c r="B10" s="9" t="s">
        <v>64</v>
      </c>
      <c r="C10" s="9" t="s">
        <v>77</v>
      </c>
      <c r="D10" s="9" t="s">
        <v>69</v>
      </c>
      <c r="E10" s="21" t="s">
        <v>78</v>
      </c>
      <c r="F10" s="25" t="n">
        <f aca="false">'Data Plans'!G10</f>
        <v>1117</v>
      </c>
      <c r="G10" s="23"/>
      <c r="H10" s="10" t="str">
        <f aca="false">IF(G10="","",G10-F10)</f>
        <v/>
      </c>
      <c r="I10" s="12" t="str">
        <f aca="false">IF(OR(G10="",G10=0),"",H10/G10)</f>
        <v/>
      </c>
      <c r="J10" s="24" t="str">
        <f aca="false">IF(G10="","Set price",IF(G10&lt;F10,"LOSS",IF(G10=F10,"Break-even","OK")))</f>
        <v>Set price</v>
      </c>
      <c r="K10" s="10" t="str">
        <f aca="false">IF(H10="","",H10*100)</f>
        <v/>
      </c>
      <c r="L10" s="10" t="n">
        <f aca="false">CEILING(F10*(1+Settings!$B$4),5)</f>
        <v>1175</v>
      </c>
    </row>
    <row r="11" customFormat="false" ht="15" hidden="false" customHeight="false" outlineLevel="0" collapsed="false">
      <c r="A11" s="8" t="s">
        <v>32</v>
      </c>
      <c r="B11" s="9" t="s">
        <v>64</v>
      </c>
      <c r="C11" s="9" t="s">
        <v>79</v>
      </c>
      <c r="D11" s="9" t="s">
        <v>66</v>
      </c>
      <c r="E11" s="21" t="s">
        <v>80</v>
      </c>
      <c r="F11" s="25" t="n">
        <f aca="false">'Data Plans'!G11</f>
        <v>1230</v>
      </c>
      <c r="G11" s="23"/>
      <c r="H11" s="10" t="str">
        <f aca="false">IF(G11="","",G11-F11)</f>
        <v/>
      </c>
      <c r="I11" s="12" t="str">
        <f aca="false">IF(OR(G11="",G11=0),"",H11/G11)</f>
        <v/>
      </c>
      <c r="J11" s="24" t="str">
        <f aca="false">IF(G11="","Set price",IF(G11&lt;F11,"LOSS",IF(G11=F11,"Break-even","OK")))</f>
        <v>Set price</v>
      </c>
      <c r="K11" s="10" t="str">
        <f aca="false">IF(H11="","",H11*100)</f>
        <v/>
      </c>
      <c r="L11" s="10" t="n">
        <f aca="false">CEILING(F11*(1+Settings!$B$4),5)</f>
        <v>1295</v>
      </c>
    </row>
    <row r="12" customFormat="false" ht="15" hidden="false" customHeight="false" outlineLevel="0" collapsed="false">
      <c r="A12" s="8" t="s">
        <v>32</v>
      </c>
      <c r="B12" s="9" t="s">
        <v>64</v>
      </c>
      <c r="C12" s="9" t="s">
        <v>81</v>
      </c>
      <c r="D12" s="9" t="s">
        <v>69</v>
      </c>
      <c r="E12" s="21" t="s">
        <v>82</v>
      </c>
      <c r="F12" s="25" t="n">
        <f aca="false">'Data Plans'!G12</f>
        <v>1629</v>
      </c>
      <c r="G12" s="23"/>
      <c r="H12" s="10" t="str">
        <f aca="false">IF(G12="","",G12-F12)</f>
        <v/>
      </c>
      <c r="I12" s="12" t="str">
        <f aca="false">IF(OR(G12="",G12=0),"",H12/G12)</f>
        <v/>
      </c>
      <c r="J12" s="24" t="str">
        <f aca="false">IF(G12="","Set price",IF(G12&lt;F12,"LOSS",IF(G12=F12,"Break-even","OK")))</f>
        <v>Set price</v>
      </c>
      <c r="K12" s="10" t="str">
        <f aca="false">IF(H12="","",H12*100)</f>
        <v/>
      </c>
      <c r="L12" s="10" t="n">
        <f aca="false">CEILING(F12*(1+Settings!$B$4),5)</f>
        <v>1715</v>
      </c>
    </row>
    <row r="13" customFormat="false" ht="15" hidden="false" customHeight="false" outlineLevel="0" collapsed="false">
      <c r="A13" s="8" t="s">
        <v>32</v>
      </c>
      <c r="B13" s="9" t="s">
        <v>64</v>
      </c>
      <c r="C13" s="9" t="s">
        <v>83</v>
      </c>
      <c r="D13" s="9" t="s">
        <v>69</v>
      </c>
      <c r="E13" s="21" t="s">
        <v>84</v>
      </c>
      <c r="F13" s="25" t="n">
        <f aca="false">'Data Plans'!G13</f>
        <v>2511</v>
      </c>
      <c r="G13" s="23"/>
      <c r="H13" s="10" t="str">
        <f aca="false">IF(G13="","",G13-F13)</f>
        <v/>
      </c>
      <c r="I13" s="12" t="str">
        <f aca="false">IF(OR(G13="",G13=0),"",H13/G13)</f>
        <v/>
      </c>
      <c r="J13" s="24" t="str">
        <f aca="false">IF(G13="","Set price",IF(G13&lt;F13,"LOSS",IF(G13=F13,"Break-even","OK")))</f>
        <v>Set price</v>
      </c>
      <c r="K13" s="10" t="str">
        <f aca="false">IF(H13="","",H13*100)</f>
        <v/>
      </c>
      <c r="L13" s="10" t="n">
        <f aca="false">CEILING(F13*(1+Settings!$B$4),5)</f>
        <v>2640</v>
      </c>
    </row>
    <row r="14" customFormat="false" ht="15" hidden="false" customHeight="false" outlineLevel="0" collapsed="false">
      <c r="A14" s="8" t="s">
        <v>32</v>
      </c>
      <c r="B14" s="9" t="s">
        <v>85</v>
      </c>
      <c r="C14" s="9" t="s">
        <v>86</v>
      </c>
      <c r="D14" s="9" t="s">
        <v>87</v>
      </c>
      <c r="E14" s="21" t="s">
        <v>88</v>
      </c>
      <c r="F14" s="25" t="n">
        <f aca="false">'Data Plans'!G14</f>
        <v>94.09</v>
      </c>
      <c r="G14" s="23"/>
      <c r="H14" s="10" t="str">
        <f aca="false">IF(G14="","",G14-F14)</f>
        <v/>
      </c>
      <c r="I14" s="12" t="str">
        <f aca="false">IF(OR(G14="",G14=0),"",H14/G14)</f>
        <v/>
      </c>
      <c r="J14" s="24" t="str">
        <f aca="false">IF(G14="","Set price",IF(G14&lt;F14,"LOSS",IF(G14=F14,"Break-even","OK")))</f>
        <v>Set price</v>
      </c>
      <c r="K14" s="10" t="str">
        <f aca="false">IF(H14="","",H14*100)</f>
        <v/>
      </c>
      <c r="L14" s="10" t="n">
        <f aca="false">CEILING(F14*(1+Settings!$B$4),5)</f>
        <v>100</v>
      </c>
    </row>
    <row r="15" customFormat="false" ht="15" hidden="false" customHeight="false" outlineLevel="0" collapsed="false">
      <c r="A15" s="8" t="s">
        <v>32</v>
      </c>
      <c r="B15" s="9" t="s">
        <v>85</v>
      </c>
      <c r="C15" s="9" t="s">
        <v>89</v>
      </c>
      <c r="D15" s="9" t="s">
        <v>87</v>
      </c>
      <c r="E15" s="21" t="s">
        <v>90</v>
      </c>
      <c r="F15" s="25" t="n">
        <f aca="false">'Data Plans'!G15</f>
        <v>188.18</v>
      </c>
      <c r="G15" s="23"/>
      <c r="H15" s="10" t="str">
        <f aca="false">IF(G15="","",G15-F15)</f>
        <v/>
      </c>
      <c r="I15" s="12" t="str">
        <f aca="false">IF(OR(G15="",G15=0),"",H15/G15)</f>
        <v/>
      </c>
      <c r="J15" s="24" t="str">
        <f aca="false">IF(G15="","Set price",IF(G15&lt;F15,"LOSS",IF(G15=F15,"Break-even","OK")))</f>
        <v>Set price</v>
      </c>
      <c r="K15" s="10" t="str">
        <f aca="false">IF(H15="","",H15*100)</f>
        <v/>
      </c>
      <c r="L15" s="10" t="n">
        <f aca="false">CEILING(F15*(1+Settings!$B$4),5)</f>
        <v>200</v>
      </c>
    </row>
    <row r="16" customFormat="false" ht="15" hidden="false" customHeight="false" outlineLevel="0" collapsed="false">
      <c r="A16" s="8" t="s">
        <v>32</v>
      </c>
      <c r="B16" s="9" t="s">
        <v>85</v>
      </c>
      <c r="C16" s="9" t="s">
        <v>91</v>
      </c>
      <c r="D16" s="9" t="s">
        <v>87</v>
      </c>
      <c r="E16" s="21" t="s">
        <v>92</v>
      </c>
      <c r="F16" s="25" t="n">
        <f aca="false">'Data Plans'!G16</f>
        <v>329.32</v>
      </c>
      <c r="G16" s="23"/>
      <c r="H16" s="10" t="str">
        <f aca="false">IF(G16="","",G16-F16)</f>
        <v/>
      </c>
      <c r="I16" s="12" t="str">
        <f aca="false">IF(OR(G16="",G16=0),"",H16/G16)</f>
        <v/>
      </c>
      <c r="J16" s="24" t="str">
        <f aca="false">IF(G16="","Set price",IF(G16&lt;F16,"LOSS",IF(G16=F16,"Break-even","OK")))</f>
        <v>Set price</v>
      </c>
      <c r="K16" s="10" t="str">
        <f aca="false">IF(H16="","",H16*100)</f>
        <v/>
      </c>
      <c r="L16" s="10" t="n">
        <f aca="false">CEILING(F16*(1+Settings!$B$4),5)</f>
        <v>350</v>
      </c>
    </row>
    <row r="17" customFormat="false" ht="15" hidden="false" customHeight="false" outlineLevel="0" collapsed="false">
      <c r="A17" s="8" t="s">
        <v>32</v>
      </c>
      <c r="B17" s="9" t="s">
        <v>85</v>
      </c>
      <c r="C17" s="9" t="s">
        <v>93</v>
      </c>
      <c r="D17" s="9" t="s">
        <v>87</v>
      </c>
      <c r="E17" s="21" t="s">
        <v>94</v>
      </c>
      <c r="F17" s="25" t="n">
        <f aca="false">'Data Plans'!G17</f>
        <v>470.45</v>
      </c>
      <c r="G17" s="23"/>
      <c r="H17" s="10" t="str">
        <f aca="false">IF(G17="","",G17-F17)</f>
        <v/>
      </c>
      <c r="I17" s="12" t="str">
        <f aca="false">IF(OR(G17="",G17=0),"",H17/G17)</f>
        <v/>
      </c>
      <c r="J17" s="24" t="str">
        <f aca="false">IF(G17="","Set price",IF(G17&lt;F17,"LOSS",IF(G17=F17,"Break-even","OK")))</f>
        <v>Set price</v>
      </c>
      <c r="K17" s="10" t="str">
        <f aca="false">IF(H17="","",H17*100)</f>
        <v/>
      </c>
      <c r="L17" s="10" t="n">
        <f aca="false">CEILING(F17*(1+Settings!$B$4),5)</f>
        <v>495</v>
      </c>
    </row>
    <row r="18" customFormat="false" ht="15" hidden="false" customHeight="false" outlineLevel="0" collapsed="false">
      <c r="A18" s="8" t="s">
        <v>32</v>
      </c>
      <c r="B18" s="9" t="s">
        <v>85</v>
      </c>
      <c r="C18" s="9" t="s">
        <v>95</v>
      </c>
      <c r="D18" s="9" t="s">
        <v>87</v>
      </c>
      <c r="E18" s="21" t="s">
        <v>96</v>
      </c>
      <c r="F18" s="25" t="n">
        <f aca="false">'Data Plans'!G18</f>
        <v>705.68</v>
      </c>
      <c r="G18" s="23"/>
      <c r="H18" s="10" t="str">
        <f aca="false">IF(G18="","",G18-F18)</f>
        <v/>
      </c>
      <c r="I18" s="12" t="str">
        <f aca="false">IF(OR(G18="",G18=0),"",H18/G18)</f>
        <v/>
      </c>
      <c r="J18" s="24" t="str">
        <f aca="false">IF(G18="","Set price",IF(G18&lt;F18,"LOSS",IF(G18=F18,"Break-even","OK")))</f>
        <v>Set price</v>
      </c>
      <c r="K18" s="10" t="str">
        <f aca="false">IF(H18="","",H18*100)</f>
        <v/>
      </c>
      <c r="L18" s="10" t="n">
        <f aca="false">CEILING(F18*(1+Settings!$B$4),5)</f>
        <v>745</v>
      </c>
    </row>
    <row r="19" customFormat="false" ht="15" hidden="false" customHeight="false" outlineLevel="0" collapsed="false">
      <c r="A19" s="8" t="s">
        <v>32</v>
      </c>
      <c r="B19" s="9" t="s">
        <v>85</v>
      </c>
      <c r="C19" s="9" t="s">
        <v>97</v>
      </c>
      <c r="D19" s="9" t="s">
        <v>98</v>
      </c>
      <c r="E19" s="21" t="s">
        <v>99</v>
      </c>
      <c r="F19" s="25" t="n">
        <f aca="false">'Data Plans'!G19</f>
        <v>846.81</v>
      </c>
      <c r="G19" s="23"/>
      <c r="H19" s="10" t="str">
        <f aca="false">IF(G19="","",G19-F19)</f>
        <v/>
      </c>
      <c r="I19" s="12" t="str">
        <f aca="false">IF(OR(G19="",G19=0),"",H19/G19)</f>
        <v/>
      </c>
      <c r="J19" s="24" t="str">
        <f aca="false">IF(G19="","Set price",IF(G19&lt;F19,"LOSS",IF(G19=F19,"Break-even","OK")))</f>
        <v>Set price</v>
      </c>
      <c r="K19" s="10" t="str">
        <f aca="false">IF(H19="","",H19*100)</f>
        <v/>
      </c>
      <c r="L19" s="10" t="n">
        <f aca="false">CEILING(F19*(1+Settings!$B$4),5)</f>
        <v>890</v>
      </c>
    </row>
    <row r="20" customFormat="false" ht="15" hidden="false" customHeight="false" outlineLevel="0" collapsed="false">
      <c r="A20" s="8" t="s">
        <v>32</v>
      </c>
      <c r="B20" s="9" t="s">
        <v>85</v>
      </c>
      <c r="C20" s="9" t="s">
        <v>100</v>
      </c>
      <c r="D20" s="9" t="s">
        <v>98</v>
      </c>
      <c r="E20" s="21" t="s">
        <v>101</v>
      </c>
      <c r="F20" s="25" t="n">
        <f aca="false">'Data Plans'!G20</f>
        <v>940.9</v>
      </c>
      <c r="G20" s="23"/>
      <c r="H20" s="10" t="str">
        <f aca="false">IF(G20="","",G20-F20)</f>
        <v/>
      </c>
      <c r="I20" s="12" t="str">
        <f aca="false">IF(OR(G20="",G20=0),"",H20/G20)</f>
        <v/>
      </c>
      <c r="J20" s="24" t="str">
        <f aca="false">IF(G20="","Set price",IF(G20&lt;F20,"LOSS",IF(G20=F20,"Break-even","OK")))</f>
        <v>Set price</v>
      </c>
      <c r="K20" s="10" t="str">
        <f aca="false">IF(H20="","",H20*100)</f>
        <v/>
      </c>
      <c r="L20" s="10" t="n">
        <f aca="false">CEILING(F20*(1+Settings!$B$4),5)</f>
        <v>990</v>
      </c>
    </row>
    <row r="21" customFormat="false" ht="15" hidden="false" customHeight="false" outlineLevel="0" collapsed="false">
      <c r="A21" s="8" t="s">
        <v>32</v>
      </c>
      <c r="B21" s="9" t="s">
        <v>102</v>
      </c>
      <c r="C21" s="9" t="s">
        <v>103</v>
      </c>
      <c r="D21" s="9" t="s">
        <v>66</v>
      </c>
      <c r="E21" s="21" t="s">
        <v>104</v>
      </c>
      <c r="F21" s="25" t="n">
        <f aca="false">'Data Plans'!G21</f>
        <v>470.45</v>
      </c>
      <c r="G21" s="23"/>
      <c r="H21" s="10" t="str">
        <f aca="false">IF(G21="","",G21-F21)</f>
        <v/>
      </c>
      <c r="I21" s="12" t="str">
        <f aca="false">IF(OR(G21="",G21=0),"",H21/G21)</f>
        <v/>
      </c>
      <c r="J21" s="24" t="str">
        <f aca="false">IF(G21="","Set price",IF(G21&lt;F21,"LOSS",IF(G21=F21,"Break-even","OK")))</f>
        <v>Set price</v>
      </c>
      <c r="K21" s="10" t="str">
        <f aca="false">IF(H21="","",H21*100)</f>
        <v/>
      </c>
      <c r="L21" s="10" t="n">
        <f aca="false">CEILING(F21*(1+Settings!$B$4),5)</f>
        <v>495</v>
      </c>
    </row>
    <row r="22" customFormat="false" ht="15" hidden="false" customHeight="false" outlineLevel="0" collapsed="false">
      <c r="A22" s="8" t="s">
        <v>32</v>
      </c>
      <c r="B22" s="9" t="s">
        <v>102</v>
      </c>
      <c r="C22" s="9" t="s">
        <v>105</v>
      </c>
      <c r="D22" s="9" t="s">
        <v>66</v>
      </c>
      <c r="E22" s="21" t="s">
        <v>106</v>
      </c>
      <c r="F22" s="25" t="n">
        <f aca="false">'Data Plans'!G22</f>
        <v>752.72</v>
      </c>
      <c r="G22" s="23"/>
      <c r="H22" s="10" t="str">
        <f aca="false">IF(G22="","",G22-F22)</f>
        <v/>
      </c>
      <c r="I22" s="12" t="str">
        <f aca="false">IF(OR(G22="",G22=0),"",H22/G22)</f>
        <v/>
      </c>
      <c r="J22" s="24" t="str">
        <f aca="false">IF(G22="","Set price",IF(G22&lt;F22,"LOSS",IF(G22=F22,"Break-even","OK")))</f>
        <v>Set price</v>
      </c>
      <c r="K22" s="10" t="str">
        <f aca="false">IF(H22="","",H22*100)</f>
        <v/>
      </c>
      <c r="L22" s="10" t="n">
        <f aca="false">CEILING(F22*(1+Settings!$B$4),5)</f>
        <v>795</v>
      </c>
    </row>
    <row r="23" customFormat="false" ht="15" hidden="false" customHeight="false" outlineLevel="0" collapsed="false">
      <c r="A23" s="8" t="s">
        <v>32</v>
      </c>
      <c r="B23" s="9" t="s">
        <v>102</v>
      </c>
      <c r="C23" s="9" t="s">
        <v>107</v>
      </c>
      <c r="D23" s="9" t="s">
        <v>66</v>
      </c>
      <c r="E23" s="21" t="s">
        <v>108</v>
      </c>
      <c r="F23" s="25" t="n">
        <f aca="false">'Data Plans'!G23</f>
        <v>940.9</v>
      </c>
      <c r="G23" s="23"/>
      <c r="H23" s="10" t="str">
        <f aca="false">IF(G23="","",G23-F23)</f>
        <v/>
      </c>
      <c r="I23" s="12" t="str">
        <f aca="false">IF(OR(G23="",G23=0),"",H23/G23)</f>
        <v/>
      </c>
      <c r="J23" s="24" t="str">
        <f aca="false">IF(G23="","Set price",IF(G23&lt;F23,"LOSS",IF(G23=F23,"Break-even","OK")))</f>
        <v>Set price</v>
      </c>
      <c r="K23" s="10" t="str">
        <f aca="false">IF(H23="","",H23*100)</f>
        <v/>
      </c>
      <c r="L23" s="10" t="n">
        <f aca="false">CEILING(F23*(1+Settings!$B$4),5)</f>
        <v>990</v>
      </c>
    </row>
    <row r="24" customFormat="false" ht="15" hidden="false" customHeight="false" outlineLevel="0" collapsed="false">
      <c r="A24" s="8" t="s">
        <v>32</v>
      </c>
      <c r="B24" s="9" t="s">
        <v>102</v>
      </c>
      <c r="C24" s="9" t="s">
        <v>109</v>
      </c>
      <c r="D24" s="9" t="s">
        <v>66</v>
      </c>
      <c r="E24" s="21" t="s">
        <v>110</v>
      </c>
      <c r="F24" s="25" t="n">
        <f aca="false">'Data Plans'!G24</f>
        <v>1411.35</v>
      </c>
      <c r="G24" s="23"/>
      <c r="H24" s="10" t="str">
        <f aca="false">IF(G24="","",G24-F24)</f>
        <v/>
      </c>
      <c r="I24" s="12" t="str">
        <f aca="false">IF(OR(G24="",G24=0),"",H24/G24)</f>
        <v/>
      </c>
      <c r="J24" s="24" t="str">
        <f aca="false">IF(G24="","Set price",IF(G24&lt;F24,"LOSS",IF(G24=F24,"Break-even","OK")))</f>
        <v>Set price</v>
      </c>
      <c r="K24" s="10" t="str">
        <f aca="false">IF(H24="","",H24*100)</f>
        <v/>
      </c>
      <c r="L24" s="10" t="n">
        <f aca="false">CEILING(F24*(1+Settings!$B$4),5)</f>
        <v>1485</v>
      </c>
    </row>
    <row r="25" customFormat="false" ht="15" hidden="false" customHeight="false" outlineLevel="0" collapsed="false">
      <c r="A25" s="8" t="s">
        <v>32</v>
      </c>
      <c r="B25" s="9" t="s">
        <v>102</v>
      </c>
      <c r="C25" s="9" t="s">
        <v>111</v>
      </c>
      <c r="D25" s="9" t="s">
        <v>66</v>
      </c>
      <c r="E25" s="21" t="s">
        <v>112</v>
      </c>
      <c r="F25" s="25" t="n">
        <f aca="false">'Data Plans'!G25</f>
        <v>2352.25</v>
      </c>
      <c r="G25" s="23"/>
      <c r="H25" s="10" t="str">
        <f aca="false">IF(G25="","",G25-F25)</f>
        <v/>
      </c>
      <c r="I25" s="12" t="str">
        <f aca="false">IF(OR(G25="",G25=0),"",H25/G25)</f>
        <v/>
      </c>
      <c r="J25" s="24" t="str">
        <f aca="false">IF(G25="","Set price",IF(G25&lt;F25,"LOSS",IF(G25=F25,"Break-even","OK")))</f>
        <v>Set price</v>
      </c>
      <c r="K25" s="10" t="str">
        <f aca="false">IF(H25="","",H25*100)</f>
        <v/>
      </c>
      <c r="L25" s="10" t="n">
        <f aca="false">CEILING(F25*(1+Settings!$B$4),5)</f>
        <v>2470</v>
      </c>
    </row>
    <row r="26" customFormat="false" ht="15" hidden="false" customHeight="false" outlineLevel="0" collapsed="false">
      <c r="A26" s="8" t="s">
        <v>32</v>
      </c>
      <c r="B26" s="9" t="s">
        <v>102</v>
      </c>
      <c r="C26" s="9" t="s">
        <v>113</v>
      </c>
      <c r="D26" s="9" t="s">
        <v>66</v>
      </c>
      <c r="E26" s="21" t="s">
        <v>114</v>
      </c>
      <c r="F26" s="25" t="n">
        <f aca="false">'Data Plans'!G26</f>
        <v>3293.15</v>
      </c>
      <c r="G26" s="23"/>
      <c r="H26" s="10" t="str">
        <f aca="false">IF(G26="","",G26-F26)</f>
        <v/>
      </c>
      <c r="I26" s="12" t="str">
        <f aca="false">IF(OR(G26="",G26=0),"",H26/G26)</f>
        <v/>
      </c>
      <c r="J26" s="24" t="str">
        <f aca="false">IF(G26="","Set price",IF(G26&lt;F26,"LOSS",IF(G26=F26,"Break-even","OK")))</f>
        <v>Set price</v>
      </c>
      <c r="K26" s="10" t="str">
        <f aca="false">IF(H26="","",H26*100)</f>
        <v/>
      </c>
      <c r="L26" s="10" t="n">
        <f aca="false">CEILING(F26*(1+Settings!$B$4),5)</f>
        <v>3460</v>
      </c>
    </row>
    <row r="27" customFormat="false" ht="15" hidden="false" customHeight="false" outlineLevel="0" collapsed="false">
      <c r="A27" s="8" t="s">
        <v>32</v>
      </c>
      <c r="B27" s="9" t="s">
        <v>102</v>
      </c>
      <c r="C27" s="9" t="s">
        <v>115</v>
      </c>
      <c r="D27" s="9" t="s">
        <v>69</v>
      </c>
      <c r="E27" s="21" t="s">
        <v>116</v>
      </c>
      <c r="F27" s="25" t="n">
        <f aca="false">'Data Plans'!G27</f>
        <v>1411.35</v>
      </c>
      <c r="G27" s="23"/>
      <c r="H27" s="10" t="str">
        <f aca="false">IF(G27="","",G27-F27)</f>
        <v/>
      </c>
      <c r="I27" s="12" t="str">
        <f aca="false">IF(OR(G27="",G27=0),"",H27/G27)</f>
        <v/>
      </c>
      <c r="J27" s="24" t="str">
        <f aca="false">IF(G27="","Set price",IF(G27&lt;F27,"LOSS",IF(G27=F27,"Break-even","OK")))</f>
        <v>Set price</v>
      </c>
      <c r="K27" s="10" t="str">
        <f aca="false">IF(H27="","",H27*100)</f>
        <v/>
      </c>
      <c r="L27" s="10" t="n">
        <f aca="false">CEILING(F27*(1+Settings!$B$4),5)</f>
        <v>1485</v>
      </c>
    </row>
    <row r="28" customFormat="false" ht="15" hidden="false" customHeight="false" outlineLevel="0" collapsed="false">
      <c r="A28" s="8" t="s">
        <v>32</v>
      </c>
      <c r="B28" s="9" t="s">
        <v>102</v>
      </c>
      <c r="C28" s="9" t="s">
        <v>117</v>
      </c>
      <c r="D28" s="9" t="s">
        <v>69</v>
      </c>
      <c r="E28" s="21" t="s">
        <v>118</v>
      </c>
      <c r="F28" s="25" t="n">
        <f aca="false">'Data Plans'!G28</f>
        <v>1881.8</v>
      </c>
      <c r="G28" s="23"/>
      <c r="H28" s="10" t="str">
        <f aca="false">IF(G28="","",G28-F28)</f>
        <v/>
      </c>
      <c r="I28" s="12" t="str">
        <f aca="false">IF(OR(G28="",G28=0),"",H28/G28)</f>
        <v/>
      </c>
      <c r="J28" s="24" t="str">
        <f aca="false">IF(G28="","Set price",IF(G28&lt;F28,"LOSS",IF(G28=F28,"Break-even","OK")))</f>
        <v>Set price</v>
      </c>
      <c r="K28" s="10" t="str">
        <f aca="false">IF(H28="","",H28*100)</f>
        <v/>
      </c>
      <c r="L28" s="10" t="n">
        <f aca="false">CEILING(F28*(1+Settings!$B$4),5)</f>
        <v>1980</v>
      </c>
    </row>
    <row r="29" customFormat="false" ht="15" hidden="false" customHeight="false" outlineLevel="0" collapsed="false">
      <c r="A29" s="8" t="s">
        <v>32</v>
      </c>
      <c r="B29" s="9" t="s">
        <v>102</v>
      </c>
      <c r="C29" s="9" t="s">
        <v>119</v>
      </c>
      <c r="D29" s="9" t="s">
        <v>69</v>
      </c>
      <c r="E29" s="21" t="s">
        <v>120</v>
      </c>
      <c r="F29" s="25" t="n">
        <f aca="false">'Data Plans'!G29</f>
        <v>2352.25</v>
      </c>
      <c r="G29" s="23"/>
      <c r="H29" s="10" t="str">
        <f aca="false">IF(G29="","",G29-F29)</f>
        <v/>
      </c>
      <c r="I29" s="12" t="str">
        <f aca="false">IF(OR(G29="",G29=0),"",H29/G29)</f>
        <v/>
      </c>
      <c r="J29" s="24" t="str">
        <f aca="false">IF(G29="","Set price",IF(G29&lt;F29,"LOSS",IF(G29=F29,"Break-even","OK")))</f>
        <v>Set price</v>
      </c>
      <c r="K29" s="10" t="str">
        <f aca="false">IF(H29="","",H29*100)</f>
        <v/>
      </c>
      <c r="L29" s="10" t="n">
        <f aca="false">CEILING(F29*(1+Settings!$B$4),5)</f>
        <v>2470</v>
      </c>
    </row>
    <row r="30" customFormat="false" ht="15" hidden="false" customHeight="false" outlineLevel="0" collapsed="false">
      <c r="A30" s="8" t="s">
        <v>32</v>
      </c>
      <c r="B30" s="9" t="s">
        <v>102</v>
      </c>
      <c r="C30" s="9" t="s">
        <v>121</v>
      </c>
      <c r="D30" s="9" t="s">
        <v>69</v>
      </c>
      <c r="E30" s="21" t="s">
        <v>122</v>
      </c>
      <c r="F30" s="25" t="n">
        <f aca="false">'Data Plans'!G30</f>
        <v>3293.15</v>
      </c>
      <c r="G30" s="23"/>
      <c r="H30" s="10" t="str">
        <f aca="false">IF(G30="","",G30-F30)</f>
        <v/>
      </c>
      <c r="I30" s="12" t="str">
        <f aca="false">IF(OR(G30="",G30=0),"",H30/G30)</f>
        <v/>
      </c>
      <c r="J30" s="24" t="str">
        <f aca="false">IF(G30="","Set price",IF(G30&lt;F30,"LOSS",IF(G30=F30,"Break-even","OK")))</f>
        <v>Set price</v>
      </c>
      <c r="K30" s="10" t="str">
        <f aca="false">IF(H30="","",H30*100)</f>
        <v/>
      </c>
      <c r="L30" s="10" t="n">
        <f aca="false">CEILING(F30*(1+Settings!$B$4),5)</f>
        <v>3460</v>
      </c>
    </row>
    <row r="31" customFormat="false" ht="15" hidden="false" customHeight="false" outlineLevel="0" collapsed="false">
      <c r="A31" s="8" t="s">
        <v>32</v>
      </c>
      <c r="B31" s="9" t="s">
        <v>102</v>
      </c>
      <c r="C31" s="9" t="s">
        <v>123</v>
      </c>
      <c r="D31" s="9" t="s">
        <v>69</v>
      </c>
      <c r="E31" s="21" t="s">
        <v>124</v>
      </c>
      <c r="F31" s="25" t="n">
        <f aca="false">'Data Plans'!G31</f>
        <v>4234.05</v>
      </c>
      <c r="G31" s="23"/>
      <c r="H31" s="10" t="str">
        <f aca="false">IF(G31="","",G31-F31)</f>
        <v/>
      </c>
      <c r="I31" s="12" t="str">
        <f aca="false">IF(OR(G31="",G31=0),"",H31/G31)</f>
        <v/>
      </c>
      <c r="J31" s="24" t="str">
        <f aca="false">IF(G31="","Set price",IF(G31&lt;F31,"LOSS",IF(G31=F31,"Break-even","OK")))</f>
        <v>Set price</v>
      </c>
      <c r="K31" s="10" t="str">
        <f aca="false">IF(H31="","",H31*100)</f>
        <v/>
      </c>
      <c r="L31" s="10" t="n">
        <f aca="false">CEILING(F31*(1+Settings!$B$4),5)</f>
        <v>4450</v>
      </c>
    </row>
    <row r="32" customFormat="false" ht="15" hidden="false" customHeight="false" outlineLevel="0" collapsed="false">
      <c r="A32" s="8" t="s">
        <v>32</v>
      </c>
      <c r="B32" s="9" t="s">
        <v>102</v>
      </c>
      <c r="C32" s="9" t="s">
        <v>125</v>
      </c>
      <c r="D32" s="9" t="s">
        <v>69</v>
      </c>
      <c r="E32" s="21" t="s">
        <v>126</v>
      </c>
      <c r="F32" s="25" t="n">
        <f aca="false">'Data Plans'!G32</f>
        <v>5174.95</v>
      </c>
      <c r="G32" s="23"/>
      <c r="H32" s="10" t="str">
        <f aca="false">IF(G32="","",G32-F32)</f>
        <v/>
      </c>
      <c r="I32" s="12" t="str">
        <f aca="false">IF(OR(G32="",G32=0),"",H32/G32)</f>
        <v/>
      </c>
      <c r="J32" s="24" t="str">
        <f aca="false">IF(G32="","Set price",IF(G32&lt;F32,"LOSS",IF(G32=F32,"Break-even","OK")))</f>
        <v>Set price</v>
      </c>
      <c r="K32" s="10" t="str">
        <f aca="false">IF(H32="","",H32*100)</f>
        <v/>
      </c>
      <c r="L32" s="10" t="n">
        <f aca="false">CEILING(F32*(1+Settings!$B$4),5)</f>
        <v>5435</v>
      </c>
    </row>
    <row r="33" customFormat="false" ht="15" hidden="false" customHeight="false" outlineLevel="0" collapsed="false">
      <c r="A33" s="8" t="s">
        <v>32</v>
      </c>
      <c r="B33" s="9" t="s">
        <v>102</v>
      </c>
      <c r="C33" s="9" t="s">
        <v>127</v>
      </c>
      <c r="D33" s="9" t="s">
        <v>69</v>
      </c>
      <c r="E33" s="21" t="s">
        <v>128</v>
      </c>
      <c r="F33" s="25" t="n">
        <f aca="false">'Data Plans'!G33</f>
        <v>6115.85</v>
      </c>
      <c r="G33" s="23"/>
      <c r="H33" s="10" t="str">
        <f aca="false">IF(G33="","",G33-F33)</f>
        <v/>
      </c>
      <c r="I33" s="12" t="str">
        <f aca="false">IF(OR(G33="",G33=0),"",H33/G33)</f>
        <v/>
      </c>
      <c r="J33" s="24" t="str">
        <f aca="false">IF(G33="","Set price",IF(G33&lt;F33,"LOSS",IF(G33=F33,"Break-even","OK")))</f>
        <v>Set price</v>
      </c>
      <c r="K33" s="10" t="str">
        <f aca="false">IF(H33="","",H33*100)</f>
        <v/>
      </c>
      <c r="L33" s="10" t="n">
        <f aca="false">CEILING(F33*(1+Settings!$B$4),5)</f>
        <v>6425</v>
      </c>
    </row>
    <row r="34" customFormat="false" ht="15" hidden="false" customHeight="false" outlineLevel="0" collapsed="false">
      <c r="A34" s="8" t="s">
        <v>32</v>
      </c>
      <c r="B34" s="9" t="s">
        <v>102</v>
      </c>
      <c r="C34" s="9" t="s">
        <v>129</v>
      </c>
      <c r="D34" s="9" t="s">
        <v>69</v>
      </c>
      <c r="E34" s="21" t="s">
        <v>130</v>
      </c>
      <c r="F34" s="25" t="n">
        <f aca="false">'Data Plans'!G34</f>
        <v>7056.75</v>
      </c>
      <c r="G34" s="23"/>
      <c r="H34" s="10" t="str">
        <f aca="false">IF(G34="","",G34-F34)</f>
        <v/>
      </c>
      <c r="I34" s="12" t="str">
        <f aca="false">IF(OR(G34="",G34=0),"",H34/G34)</f>
        <v/>
      </c>
      <c r="J34" s="24" t="str">
        <f aca="false">IF(G34="","Set price",IF(G34&lt;F34,"LOSS",IF(G34=F34,"Break-even","OK")))</f>
        <v>Set price</v>
      </c>
      <c r="K34" s="10" t="str">
        <f aca="false">IF(H34="","",H34*100)</f>
        <v/>
      </c>
      <c r="L34" s="10" t="n">
        <f aca="false">CEILING(F34*(1+Settings!$B$4),5)</f>
        <v>7410</v>
      </c>
    </row>
    <row r="35" customFormat="false" ht="15" hidden="false" customHeight="false" outlineLevel="0" collapsed="false">
      <c r="A35" s="8" t="s">
        <v>32</v>
      </c>
      <c r="B35" s="9" t="s">
        <v>102</v>
      </c>
      <c r="C35" s="9" t="s">
        <v>131</v>
      </c>
      <c r="D35" s="9" t="s">
        <v>69</v>
      </c>
      <c r="E35" s="21" t="s">
        <v>132</v>
      </c>
      <c r="F35" s="25" t="n">
        <f aca="false">'Data Plans'!G35</f>
        <v>8468.1</v>
      </c>
      <c r="G35" s="23"/>
      <c r="H35" s="10" t="str">
        <f aca="false">IF(G35="","",G35-F35)</f>
        <v/>
      </c>
      <c r="I35" s="12" t="str">
        <f aca="false">IF(OR(G35="",G35=0),"",H35/G35)</f>
        <v/>
      </c>
      <c r="J35" s="24" t="str">
        <f aca="false">IF(G35="","Set price",IF(G35&lt;F35,"LOSS",IF(G35=F35,"Break-even","OK")))</f>
        <v>Set price</v>
      </c>
      <c r="K35" s="10" t="str">
        <f aca="false">IF(H35="","",H35*100)</f>
        <v/>
      </c>
      <c r="L35" s="10" t="n">
        <f aca="false">CEILING(F35*(1+Settings!$B$4),5)</f>
        <v>8895</v>
      </c>
    </row>
    <row r="36" customFormat="false" ht="15" hidden="false" customHeight="false" outlineLevel="0" collapsed="false">
      <c r="A36" s="8" t="s">
        <v>32</v>
      </c>
      <c r="B36" s="9" t="s">
        <v>102</v>
      </c>
      <c r="C36" s="9" t="s">
        <v>133</v>
      </c>
      <c r="D36" s="9" t="s">
        <v>69</v>
      </c>
      <c r="E36" s="21" t="s">
        <v>134</v>
      </c>
      <c r="F36" s="25" t="n">
        <f aca="false">'Data Plans'!G36</f>
        <v>10349.9</v>
      </c>
      <c r="G36" s="23"/>
      <c r="H36" s="10" t="str">
        <f aca="false">IF(G36="","",G36-F36)</f>
        <v/>
      </c>
      <c r="I36" s="12" t="str">
        <f aca="false">IF(OR(G36="",G36=0),"",H36/G36)</f>
        <v/>
      </c>
      <c r="J36" s="24" t="str">
        <f aca="false">IF(G36="","Set price",IF(G36&lt;F36,"LOSS",IF(G36=F36,"Break-even","OK")))</f>
        <v>Set price</v>
      </c>
      <c r="K36" s="10" t="str">
        <f aca="false">IF(H36="","",H36*100)</f>
        <v/>
      </c>
      <c r="L36" s="10" t="n">
        <f aca="false">CEILING(F36*(1+Settings!$B$4),5)</f>
        <v>10870</v>
      </c>
    </row>
    <row r="37" customFormat="false" ht="15" hidden="false" customHeight="false" outlineLevel="0" collapsed="false">
      <c r="A37" s="8" t="s">
        <v>32</v>
      </c>
      <c r="B37" s="9" t="s">
        <v>102</v>
      </c>
      <c r="C37" s="9" t="s">
        <v>135</v>
      </c>
      <c r="D37" s="9" t="s">
        <v>69</v>
      </c>
      <c r="E37" s="21" t="s">
        <v>136</v>
      </c>
      <c r="F37" s="25" t="n">
        <f aca="false">'Data Plans'!G37</f>
        <v>16936.2</v>
      </c>
      <c r="G37" s="23"/>
      <c r="H37" s="10" t="str">
        <f aca="false">IF(G37="","",G37-F37)</f>
        <v/>
      </c>
      <c r="I37" s="12" t="str">
        <f aca="false">IF(OR(G37="",G37=0),"",H37/G37)</f>
        <v/>
      </c>
      <c r="J37" s="24" t="str">
        <f aca="false">IF(G37="","Set price",IF(G37&lt;F37,"LOSS",IF(G37=F37,"Break-even","OK")))</f>
        <v>Set price</v>
      </c>
      <c r="K37" s="10" t="str">
        <f aca="false">IF(H37="","",H37*100)</f>
        <v/>
      </c>
      <c r="L37" s="10" t="n">
        <f aca="false">CEILING(F37*(1+Settings!$B$4),5)</f>
        <v>17785</v>
      </c>
    </row>
    <row r="38" customFormat="false" ht="15" hidden="false" customHeight="false" outlineLevel="0" collapsed="false">
      <c r="A38" s="8" t="s">
        <v>32</v>
      </c>
      <c r="B38" s="9" t="s">
        <v>102</v>
      </c>
      <c r="C38" s="9" t="s">
        <v>137</v>
      </c>
      <c r="D38" s="9" t="s">
        <v>69</v>
      </c>
      <c r="E38" s="21" t="s">
        <v>138</v>
      </c>
      <c r="F38" s="25" t="n">
        <f aca="false">'Data Plans'!G38</f>
        <v>32931.5</v>
      </c>
      <c r="G38" s="23"/>
      <c r="H38" s="10" t="str">
        <f aca="false">IF(G38="","",G38-F38)</f>
        <v/>
      </c>
      <c r="I38" s="12" t="str">
        <f aca="false">IF(OR(G38="",G38=0),"",H38/G38)</f>
        <v/>
      </c>
      <c r="J38" s="24" t="str">
        <f aca="false">IF(G38="","Set price",IF(G38&lt;F38,"LOSS",IF(G38=F38,"Break-even","OK")))</f>
        <v>Set price</v>
      </c>
      <c r="K38" s="10" t="str">
        <f aca="false">IF(H38="","",H38*100)</f>
        <v/>
      </c>
      <c r="L38" s="10" t="n">
        <f aca="false">CEILING(F38*(1+Settings!$B$4),5)</f>
        <v>34580</v>
      </c>
    </row>
    <row r="39" customFormat="false" ht="15" hidden="false" customHeight="false" outlineLevel="0" collapsed="false">
      <c r="A39" s="8" t="s">
        <v>32</v>
      </c>
      <c r="B39" s="9" t="s">
        <v>102</v>
      </c>
      <c r="C39" s="9" t="s">
        <v>139</v>
      </c>
      <c r="D39" s="9" t="s">
        <v>140</v>
      </c>
      <c r="E39" s="21" t="s">
        <v>141</v>
      </c>
      <c r="F39" s="25" t="n">
        <f aca="false">'Data Plans'!G39</f>
        <v>37636</v>
      </c>
      <c r="G39" s="23"/>
      <c r="H39" s="10" t="str">
        <f aca="false">IF(G39="","",G39-F39)</f>
        <v/>
      </c>
      <c r="I39" s="12" t="str">
        <f aca="false">IF(OR(G39="",G39=0),"",H39/G39)</f>
        <v/>
      </c>
      <c r="J39" s="24" t="str">
        <f aca="false">IF(G39="","Set price",IF(G39&lt;F39,"LOSS",IF(G39=F39,"Break-even","OK")))</f>
        <v>Set price</v>
      </c>
      <c r="K39" s="10" t="str">
        <f aca="false">IF(H39="","",H39*100)</f>
        <v/>
      </c>
      <c r="L39" s="10" t="n">
        <f aca="false">CEILING(F39*(1+Settings!$B$4),5)</f>
        <v>39520</v>
      </c>
    </row>
    <row r="40" customFormat="false" ht="15" hidden="false" customHeight="false" outlineLevel="0" collapsed="false">
      <c r="A40" s="8" t="s">
        <v>32</v>
      </c>
      <c r="B40" s="9" t="s">
        <v>102</v>
      </c>
      <c r="C40" s="9" t="s">
        <v>142</v>
      </c>
      <c r="D40" s="9" t="s">
        <v>66</v>
      </c>
      <c r="E40" s="21" t="s">
        <v>143</v>
      </c>
      <c r="F40" s="25" t="n">
        <f aca="false">'Data Plans'!G40</f>
        <v>4704.5</v>
      </c>
      <c r="G40" s="23"/>
      <c r="H40" s="10" t="str">
        <f aca="false">IF(G40="","",G40-F40)</f>
        <v/>
      </c>
      <c r="I40" s="12" t="str">
        <f aca="false">IF(OR(G40="",G40=0),"",H40/G40)</f>
        <v/>
      </c>
      <c r="J40" s="24" t="str">
        <f aca="false">IF(G40="","Set price",IF(G40&lt;F40,"LOSS",IF(G40=F40,"Break-even","OK")))</f>
        <v>Set price</v>
      </c>
      <c r="K40" s="10" t="str">
        <f aca="false">IF(H40="","",H40*100)</f>
        <v/>
      </c>
      <c r="L40" s="10" t="n">
        <f aca="false">CEILING(F40*(1+Settings!$B$4),5)</f>
        <v>4940</v>
      </c>
    </row>
    <row r="41" customFormat="false" ht="15" hidden="false" customHeight="false" outlineLevel="0" collapsed="false">
      <c r="A41" s="8" t="s">
        <v>32</v>
      </c>
      <c r="B41" s="9" t="s">
        <v>102</v>
      </c>
      <c r="C41" s="9" t="s">
        <v>144</v>
      </c>
      <c r="D41" s="9" t="s">
        <v>145</v>
      </c>
      <c r="E41" s="21" t="s">
        <v>146</v>
      </c>
      <c r="F41" s="25" t="n">
        <f aca="false">'Data Plans'!G41</f>
        <v>84681</v>
      </c>
      <c r="G41" s="23"/>
      <c r="H41" s="10" t="str">
        <f aca="false">IF(G41="","",G41-F41)</f>
        <v/>
      </c>
      <c r="I41" s="12" t="str">
        <f aca="false">IF(OR(G41="",G41=0),"",H41/G41)</f>
        <v/>
      </c>
      <c r="J41" s="24" t="str">
        <f aca="false">IF(G41="","Set price",IF(G41&lt;F41,"LOSS",IF(G41=F41,"Break-even","OK")))</f>
        <v>Set price</v>
      </c>
      <c r="K41" s="10" t="str">
        <f aca="false">IF(H41="","",H41*100)</f>
        <v/>
      </c>
      <c r="L41" s="10" t="n">
        <f aca="false">CEILING(F41*(1+Settings!$B$4),5)</f>
        <v>88920</v>
      </c>
    </row>
    <row r="42" customFormat="false" ht="15" hidden="false" customHeight="false" outlineLevel="0" collapsed="false">
      <c r="A42" s="13" t="s">
        <v>33</v>
      </c>
      <c r="B42" s="9" t="s">
        <v>64</v>
      </c>
      <c r="C42" s="9" t="s">
        <v>147</v>
      </c>
      <c r="D42" s="9" t="s">
        <v>148</v>
      </c>
      <c r="E42" s="21" t="s">
        <v>149</v>
      </c>
      <c r="F42" s="25" t="n">
        <f aca="false">'Data Plans'!G42</f>
        <v>94</v>
      </c>
      <c r="G42" s="23"/>
      <c r="H42" s="10" t="str">
        <f aca="false">IF(G42="","",G42-F42)</f>
        <v/>
      </c>
      <c r="I42" s="12" t="str">
        <f aca="false">IF(OR(G42="",G42=0),"",H42/G42)</f>
        <v/>
      </c>
      <c r="J42" s="24" t="str">
        <f aca="false">IF(G42="","Set price",IF(G42&lt;F42,"LOSS",IF(G42=F42,"Break-even","OK")))</f>
        <v>Set price</v>
      </c>
      <c r="K42" s="10" t="str">
        <f aca="false">IF(H42="","",H42*100)</f>
        <v/>
      </c>
      <c r="L42" s="10" t="n">
        <f aca="false">CEILING(F42*(1+Settings!$B$4),5)</f>
        <v>100</v>
      </c>
    </row>
    <row r="43" customFormat="false" ht="15" hidden="false" customHeight="false" outlineLevel="0" collapsed="false">
      <c r="A43" s="13" t="s">
        <v>33</v>
      </c>
      <c r="B43" s="9" t="s">
        <v>64</v>
      </c>
      <c r="C43" s="9" t="s">
        <v>150</v>
      </c>
      <c r="D43" s="9" t="s">
        <v>66</v>
      </c>
      <c r="E43" s="21" t="s">
        <v>67</v>
      </c>
      <c r="F43" s="25" t="n">
        <f aca="false">'Data Plans'!G43</f>
        <v>230</v>
      </c>
      <c r="G43" s="23"/>
      <c r="H43" s="10" t="str">
        <f aca="false">IF(G43="","",G43-F43)</f>
        <v/>
      </c>
      <c r="I43" s="12" t="str">
        <f aca="false">IF(OR(G43="",G43=0),"",H43/G43)</f>
        <v/>
      </c>
      <c r="J43" s="24" t="str">
        <f aca="false">IF(G43="","Set price",IF(G43&lt;F43,"LOSS",IF(G43=F43,"Break-even","OK")))</f>
        <v>Set price</v>
      </c>
      <c r="K43" s="10" t="str">
        <f aca="false">IF(H43="","",H43*100)</f>
        <v/>
      </c>
      <c r="L43" s="10" t="n">
        <f aca="false">CEILING(F43*(1+Settings!$B$4),5)</f>
        <v>245</v>
      </c>
    </row>
    <row r="44" customFormat="false" ht="15" hidden="false" customHeight="false" outlineLevel="0" collapsed="false">
      <c r="A44" s="13" t="s">
        <v>33</v>
      </c>
      <c r="B44" s="9" t="s">
        <v>64</v>
      </c>
      <c r="C44" s="9" t="s">
        <v>151</v>
      </c>
      <c r="D44" s="9" t="s">
        <v>152</v>
      </c>
      <c r="E44" s="21" t="s">
        <v>153</v>
      </c>
      <c r="F44" s="25" t="n">
        <f aca="false">'Data Plans'!G44</f>
        <v>392</v>
      </c>
      <c r="G44" s="23"/>
      <c r="H44" s="10" t="str">
        <f aca="false">IF(G44="","",G44-F44)</f>
        <v/>
      </c>
      <c r="I44" s="12" t="str">
        <f aca="false">IF(OR(G44="",G44=0),"",H44/G44)</f>
        <v/>
      </c>
      <c r="J44" s="24" t="str">
        <f aca="false">IF(G44="","Set price",IF(G44&lt;F44,"LOSS",IF(G44=F44,"Break-even","OK")))</f>
        <v>Set price</v>
      </c>
      <c r="K44" s="10" t="str">
        <f aca="false">IF(H44="","",H44*100)</f>
        <v/>
      </c>
      <c r="L44" s="10" t="n">
        <f aca="false">CEILING(F44*(1+Settings!$B$4),5)</f>
        <v>415</v>
      </c>
    </row>
    <row r="45" customFormat="false" ht="15" hidden="false" customHeight="false" outlineLevel="0" collapsed="false">
      <c r="A45" s="13" t="s">
        <v>33</v>
      </c>
      <c r="B45" s="9" t="s">
        <v>64</v>
      </c>
      <c r="C45" s="9" t="s">
        <v>154</v>
      </c>
      <c r="D45" s="9" t="s">
        <v>152</v>
      </c>
      <c r="E45" s="21" t="s">
        <v>155</v>
      </c>
      <c r="F45" s="25" t="n">
        <f aca="false">'Data Plans'!G45</f>
        <v>1176</v>
      </c>
      <c r="G45" s="23"/>
      <c r="H45" s="10" t="str">
        <f aca="false">IF(G45="","",G45-F45)</f>
        <v/>
      </c>
      <c r="I45" s="12" t="str">
        <f aca="false">IF(OR(G45="",G45=0),"",H45/G45)</f>
        <v/>
      </c>
      <c r="J45" s="24" t="str">
        <f aca="false">IF(G45="","Set price",IF(G45&lt;F45,"LOSS",IF(G45=F45,"Break-even","OK")))</f>
        <v>Set price</v>
      </c>
      <c r="K45" s="10" t="str">
        <f aca="false">IF(H45="","",H45*100)</f>
        <v/>
      </c>
      <c r="L45" s="10" t="n">
        <f aca="false">CEILING(F45*(1+Settings!$B$4),5)</f>
        <v>1235</v>
      </c>
    </row>
    <row r="46" customFormat="false" ht="15" hidden="false" customHeight="false" outlineLevel="0" collapsed="false">
      <c r="A46" s="13" t="s">
        <v>33</v>
      </c>
      <c r="B46" s="9" t="s">
        <v>64</v>
      </c>
      <c r="C46" s="9" t="s">
        <v>156</v>
      </c>
      <c r="D46" s="9" t="s">
        <v>152</v>
      </c>
      <c r="E46" s="21" t="s">
        <v>157</v>
      </c>
      <c r="F46" s="25" t="n">
        <f aca="false">'Data Plans'!G46</f>
        <v>1960</v>
      </c>
      <c r="G46" s="23"/>
      <c r="H46" s="10" t="str">
        <f aca="false">IF(G46="","",G46-F46)</f>
        <v/>
      </c>
      <c r="I46" s="12" t="str">
        <f aca="false">IF(OR(G46="",G46=0),"",H46/G46)</f>
        <v/>
      </c>
      <c r="J46" s="24" t="str">
        <f aca="false">IF(G46="","Set price",IF(G46&lt;F46,"LOSS",IF(G46=F46,"Break-even","OK")))</f>
        <v>Set price</v>
      </c>
      <c r="K46" s="10" t="str">
        <f aca="false">IF(H46="","",H46*100)</f>
        <v/>
      </c>
      <c r="L46" s="10" t="n">
        <f aca="false">CEILING(F46*(1+Settings!$B$4),5)</f>
        <v>2060</v>
      </c>
    </row>
    <row r="47" customFormat="false" ht="15" hidden="false" customHeight="false" outlineLevel="0" collapsed="false">
      <c r="A47" s="13" t="s">
        <v>33</v>
      </c>
      <c r="B47" s="9" t="s">
        <v>64</v>
      </c>
      <c r="C47" s="9" t="s">
        <v>158</v>
      </c>
      <c r="D47" s="9" t="s">
        <v>66</v>
      </c>
      <c r="E47" s="21" t="s">
        <v>159</v>
      </c>
      <c r="F47" s="25" t="n">
        <f aca="false">'Data Plans'!G47</f>
        <v>409</v>
      </c>
      <c r="G47" s="23"/>
      <c r="H47" s="10" t="str">
        <f aca="false">IF(G47="","",G47-F47)</f>
        <v/>
      </c>
      <c r="I47" s="12" t="str">
        <f aca="false">IF(OR(G47="",G47=0),"",H47/G47)</f>
        <v/>
      </c>
      <c r="J47" s="24" t="str">
        <f aca="false">IF(G47="","Set price",IF(G47&lt;F47,"LOSS",IF(G47=F47,"Break-even","OK")))</f>
        <v>Set price</v>
      </c>
      <c r="K47" s="10" t="str">
        <f aca="false">IF(H47="","",H47*100)</f>
        <v/>
      </c>
      <c r="L47" s="10" t="n">
        <f aca="false">CEILING(F47*(1+Settings!$B$4),5)</f>
        <v>430</v>
      </c>
    </row>
    <row r="48" customFormat="false" ht="15" hidden="false" customHeight="false" outlineLevel="0" collapsed="false">
      <c r="A48" s="13" t="s">
        <v>33</v>
      </c>
      <c r="B48" s="9" t="s">
        <v>64</v>
      </c>
      <c r="C48" s="9" t="s">
        <v>160</v>
      </c>
      <c r="D48" s="9" t="s">
        <v>66</v>
      </c>
      <c r="E48" s="21" t="s">
        <v>161</v>
      </c>
      <c r="F48" s="25" t="n">
        <f aca="false">'Data Plans'!G48</f>
        <v>1228</v>
      </c>
      <c r="G48" s="23"/>
      <c r="H48" s="10" t="str">
        <f aca="false">IF(G48="","",G48-F48)</f>
        <v/>
      </c>
      <c r="I48" s="12" t="str">
        <f aca="false">IF(OR(G48="",G48=0),"",H48/G48)</f>
        <v/>
      </c>
      <c r="J48" s="24" t="str">
        <f aca="false">IF(G48="","Set price",IF(G48&lt;F48,"LOSS",IF(G48=F48,"Break-even","OK")))</f>
        <v>Set price</v>
      </c>
      <c r="K48" s="10" t="str">
        <f aca="false">IF(H48="","",H48*100)</f>
        <v/>
      </c>
      <c r="L48" s="10" t="n">
        <f aca="false">CEILING(F48*(1+Settings!$B$4),5)</f>
        <v>1290</v>
      </c>
    </row>
    <row r="49" customFormat="false" ht="15" hidden="false" customHeight="false" outlineLevel="0" collapsed="false">
      <c r="A49" s="13" t="s">
        <v>33</v>
      </c>
      <c r="B49" s="9" t="s">
        <v>64</v>
      </c>
      <c r="C49" s="9" t="s">
        <v>162</v>
      </c>
      <c r="D49" s="9" t="s">
        <v>66</v>
      </c>
      <c r="E49" s="21" t="s">
        <v>163</v>
      </c>
      <c r="F49" s="25" t="n">
        <f aca="false">'Data Plans'!G49</f>
        <v>2046</v>
      </c>
      <c r="G49" s="23"/>
      <c r="H49" s="10" t="str">
        <f aca="false">IF(G49="","",G49-F49)</f>
        <v/>
      </c>
      <c r="I49" s="12" t="str">
        <f aca="false">IF(OR(G49="",G49=0),"",H49/G49)</f>
        <v/>
      </c>
      <c r="J49" s="24" t="str">
        <f aca="false">IF(G49="","Set price",IF(G49&lt;F49,"LOSS",IF(G49=F49,"Break-even","OK")))</f>
        <v>Set price</v>
      </c>
      <c r="K49" s="10" t="str">
        <f aca="false">IF(H49="","",H49*100)</f>
        <v/>
      </c>
      <c r="L49" s="10" t="n">
        <f aca="false">CEILING(F49*(1+Settings!$B$4),5)</f>
        <v>2150</v>
      </c>
    </row>
    <row r="50" customFormat="false" ht="15" hidden="false" customHeight="false" outlineLevel="0" collapsed="false">
      <c r="A50" s="13" t="s">
        <v>33</v>
      </c>
      <c r="B50" s="9" t="s">
        <v>64</v>
      </c>
      <c r="C50" s="9" t="s">
        <v>164</v>
      </c>
      <c r="D50" s="9" t="s">
        <v>165</v>
      </c>
      <c r="E50" s="21" t="s">
        <v>166</v>
      </c>
      <c r="F50" s="25" t="n">
        <f aca="false">'Data Plans'!G50</f>
        <v>409</v>
      </c>
      <c r="G50" s="23"/>
      <c r="H50" s="10" t="str">
        <f aca="false">IF(G50="","",G50-F50)</f>
        <v/>
      </c>
      <c r="I50" s="12" t="str">
        <f aca="false">IF(OR(G50="",G50=0),"",H50/G50)</f>
        <v/>
      </c>
      <c r="J50" s="24" t="str">
        <f aca="false">IF(G50="","Set price",IF(G50&lt;F50,"LOSS",IF(G50=F50,"Break-even","OK")))</f>
        <v>Set price</v>
      </c>
      <c r="K50" s="10" t="str">
        <f aca="false">IF(H50="","",H50*100)</f>
        <v/>
      </c>
      <c r="L50" s="10" t="n">
        <f aca="false">CEILING(F50*(1+Settings!$B$4),5)</f>
        <v>430</v>
      </c>
    </row>
    <row r="51" customFormat="false" ht="15" hidden="false" customHeight="false" outlineLevel="0" collapsed="false">
      <c r="A51" s="13" t="s">
        <v>33</v>
      </c>
      <c r="B51" s="9" t="s">
        <v>64</v>
      </c>
      <c r="C51" s="9" t="s">
        <v>167</v>
      </c>
      <c r="D51" s="9" t="s">
        <v>165</v>
      </c>
      <c r="E51" s="21" t="s">
        <v>168</v>
      </c>
      <c r="F51" s="25" t="n">
        <f aca="false">'Data Plans'!G51</f>
        <v>1228</v>
      </c>
      <c r="G51" s="23"/>
      <c r="H51" s="10" t="str">
        <f aca="false">IF(G51="","",G51-F51)</f>
        <v/>
      </c>
      <c r="I51" s="12" t="str">
        <f aca="false">IF(OR(G51="",G51=0),"",H51/G51)</f>
        <v/>
      </c>
      <c r="J51" s="24" t="str">
        <f aca="false">IF(G51="","Set price",IF(G51&lt;F51,"LOSS",IF(G51=F51,"Break-even","OK")))</f>
        <v>Set price</v>
      </c>
      <c r="K51" s="10" t="str">
        <f aca="false">IF(H51="","",H51*100)</f>
        <v/>
      </c>
      <c r="L51" s="10" t="n">
        <f aca="false">CEILING(F51*(1+Settings!$B$4),5)</f>
        <v>1290</v>
      </c>
    </row>
    <row r="52" customFormat="false" ht="15" hidden="false" customHeight="false" outlineLevel="0" collapsed="false">
      <c r="A52" s="13" t="s">
        <v>33</v>
      </c>
      <c r="B52" s="9" t="s">
        <v>64</v>
      </c>
      <c r="C52" s="9" t="s">
        <v>169</v>
      </c>
      <c r="D52" s="9" t="s">
        <v>165</v>
      </c>
      <c r="E52" s="21" t="s">
        <v>170</v>
      </c>
      <c r="F52" s="25" t="n">
        <f aca="false">'Data Plans'!G52</f>
        <v>2046</v>
      </c>
      <c r="G52" s="23"/>
      <c r="H52" s="10" t="str">
        <f aca="false">IF(G52="","",G52-F52)</f>
        <v/>
      </c>
      <c r="I52" s="12" t="str">
        <f aca="false">IF(OR(G52="",G52=0),"",H52/G52)</f>
        <v/>
      </c>
      <c r="J52" s="24" t="str">
        <f aca="false">IF(G52="","Set price",IF(G52&lt;F52,"LOSS",IF(G52=F52,"Break-even","OK")))</f>
        <v>Set price</v>
      </c>
      <c r="K52" s="10" t="str">
        <f aca="false">IF(H52="","",H52*100)</f>
        <v/>
      </c>
      <c r="L52" s="10" t="n">
        <f aca="false">CEILING(F52*(1+Settings!$B$4),5)</f>
        <v>2150</v>
      </c>
    </row>
    <row r="53" customFormat="false" ht="15" hidden="false" customHeight="false" outlineLevel="0" collapsed="false">
      <c r="A53" s="13" t="s">
        <v>33</v>
      </c>
      <c r="B53" s="9" t="s">
        <v>64</v>
      </c>
      <c r="C53" s="9" t="s">
        <v>171</v>
      </c>
      <c r="D53" s="9" t="s">
        <v>165</v>
      </c>
      <c r="E53" s="21" t="s">
        <v>172</v>
      </c>
      <c r="F53" s="25" t="n">
        <f aca="false">'Data Plans'!G53</f>
        <v>4093</v>
      </c>
      <c r="G53" s="23"/>
      <c r="H53" s="10" t="str">
        <f aca="false">IF(G53="","",G53-F53)</f>
        <v/>
      </c>
      <c r="I53" s="12" t="str">
        <f aca="false">IF(OR(G53="",G53=0),"",H53/G53)</f>
        <v/>
      </c>
      <c r="J53" s="24" t="str">
        <f aca="false">IF(G53="","Set price",IF(G53&lt;F53,"LOSS",IF(G53=F53,"Break-even","OK")))</f>
        <v>Set price</v>
      </c>
      <c r="K53" s="10" t="str">
        <f aca="false">IF(H53="","",H53*100)</f>
        <v/>
      </c>
      <c r="L53" s="10" t="n">
        <f aca="false">CEILING(F53*(1+Settings!$B$4),5)</f>
        <v>4300</v>
      </c>
    </row>
    <row r="54" customFormat="false" ht="15" hidden="false" customHeight="false" outlineLevel="0" collapsed="false">
      <c r="A54" s="13" t="s">
        <v>33</v>
      </c>
      <c r="B54" s="9" t="s">
        <v>64</v>
      </c>
      <c r="C54" s="9" t="s">
        <v>173</v>
      </c>
      <c r="D54" s="9" t="s">
        <v>69</v>
      </c>
      <c r="E54" s="21" t="s">
        <v>72</v>
      </c>
      <c r="F54" s="25" t="n">
        <f aca="false">'Data Plans'!G54</f>
        <v>461</v>
      </c>
      <c r="G54" s="23"/>
      <c r="H54" s="10" t="str">
        <f aca="false">IF(G54="","",G54-F54)</f>
        <v/>
      </c>
      <c r="I54" s="12" t="str">
        <f aca="false">IF(OR(G54="",G54=0),"",H54/G54)</f>
        <v/>
      </c>
      <c r="J54" s="24" t="str">
        <f aca="false">IF(G54="","Set price",IF(G54&lt;F54,"LOSS",IF(G54=F54,"Break-even","OK")))</f>
        <v>Set price</v>
      </c>
      <c r="K54" s="10" t="str">
        <f aca="false">IF(H54="","",H54*100)</f>
        <v/>
      </c>
      <c r="L54" s="10" t="n">
        <f aca="false">CEILING(F54*(1+Settings!$B$4),5)</f>
        <v>485</v>
      </c>
    </row>
    <row r="55" customFormat="false" ht="15" hidden="false" customHeight="false" outlineLevel="0" collapsed="false">
      <c r="A55" s="13" t="s">
        <v>33</v>
      </c>
      <c r="B55" s="9" t="s">
        <v>64</v>
      </c>
      <c r="C55" s="9" t="s">
        <v>174</v>
      </c>
      <c r="D55" s="9" t="s">
        <v>69</v>
      </c>
      <c r="E55" s="21" t="s">
        <v>76</v>
      </c>
      <c r="F55" s="25" t="n">
        <f aca="false">'Data Plans'!G55</f>
        <v>922</v>
      </c>
      <c r="G55" s="23"/>
      <c r="H55" s="10" t="str">
        <f aca="false">IF(G55="","",G55-F55)</f>
        <v/>
      </c>
      <c r="I55" s="12" t="str">
        <f aca="false">IF(OR(G55="",G55=0),"",H55/G55)</f>
        <v/>
      </c>
      <c r="J55" s="24" t="str">
        <f aca="false">IF(G55="","Set price",IF(G55&lt;F55,"LOSS",IF(G55=F55,"Break-even","OK")))</f>
        <v>Set price</v>
      </c>
      <c r="K55" s="10" t="str">
        <f aca="false">IF(H55="","",H55*100)</f>
        <v/>
      </c>
      <c r="L55" s="10" t="n">
        <f aca="false">CEILING(F55*(1+Settings!$B$4),5)</f>
        <v>970</v>
      </c>
    </row>
    <row r="56" customFormat="false" ht="15" hidden="false" customHeight="false" outlineLevel="0" collapsed="false">
      <c r="A56" s="13" t="s">
        <v>33</v>
      </c>
      <c r="B56" s="9" t="s">
        <v>64</v>
      </c>
      <c r="C56" s="9" t="s">
        <v>175</v>
      </c>
      <c r="D56" s="9" t="s">
        <v>69</v>
      </c>
      <c r="E56" s="21" t="s">
        <v>80</v>
      </c>
      <c r="F56" s="25" t="n">
        <f aca="false">'Data Plans'!G56</f>
        <v>1383</v>
      </c>
      <c r="G56" s="23"/>
      <c r="H56" s="10" t="str">
        <f aca="false">IF(G56="","",G56-F56)</f>
        <v/>
      </c>
      <c r="I56" s="12" t="str">
        <f aca="false">IF(OR(G56="",G56=0),"",H56/G56)</f>
        <v/>
      </c>
      <c r="J56" s="24" t="str">
        <f aca="false">IF(G56="","Set price",IF(G56&lt;F56,"LOSS",IF(G56=F56,"Break-even","OK")))</f>
        <v>Set price</v>
      </c>
      <c r="K56" s="10" t="str">
        <f aca="false">IF(H56="","",H56*100)</f>
        <v/>
      </c>
      <c r="L56" s="10" t="n">
        <f aca="false">CEILING(F56*(1+Settings!$B$4),5)</f>
        <v>1455</v>
      </c>
    </row>
    <row r="57" customFormat="false" ht="15" hidden="false" customHeight="false" outlineLevel="0" collapsed="false">
      <c r="A57" s="13" t="s">
        <v>33</v>
      </c>
      <c r="B57" s="9" t="s">
        <v>64</v>
      </c>
      <c r="C57" s="9" t="s">
        <v>176</v>
      </c>
      <c r="D57" s="9" t="s">
        <v>69</v>
      </c>
      <c r="E57" s="21" t="s">
        <v>177</v>
      </c>
      <c r="F57" s="25" t="n">
        <f aca="false">'Data Plans'!G57</f>
        <v>2306</v>
      </c>
      <c r="G57" s="23"/>
      <c r="H57" s="10" t="str">
        <f aca="false">IF(G57="","",G57-F57)</f>
        <v/>
      </c>
      <c r="I57" s="12" t="str">
        <f aca="false">IF(OR(G57="",G57=0),"",H57/G57)</f>
        <v/>
      </c>
      <c r="J57" s="24" t="str">
        <f aca="false">IF(G57="","Set price",IF(G57&lt;F57,"LOSS",IF(G57=F57,"Break-even","OK")))</f>
        <v>Set price</v>
      </c>
      <c r="K57" s="10" t="str">
        <f aca="false">IF(H57="","",H57*100)</f>
        <v/>
      </c>
      <c r="L57" s="10" t="n">
        <f aca="false">CEILING(F57*(1+Settings!$B$4),5)</f>
        <v>2425</v>
      </c>
    </row>
    <row r="58" customFormat="false" ht="15" hidden="false" customHeight="false" outlineLevel="0" collapsed="false">
      <c r="A58" s="13" t="s">
        <v>33</v>
      </c>
      <c r="B58" s="9" t="s">
        <v>64</v>
      </c>
      <c r="C58" s="9" t="s">
        <v>178</v>
      </c>
      <c r="D58" s="9" t="s">
        <v>69</v>
      </c>
      <c r="E58" s="21" t="s">
        <v>179</v>
      </c>
      <c r="F58" s="25" t="n">
        <f aca="false">'Data Plans'!G58</f>
        <v>4612</v>
      </c>
      <c r="G58" s="23"/>
      <c r="H58" s="10" t="str">
        <f aca="false">IF(G58="","",G58-F58)</f>
        <v/>
      </c>
      <c r="I58" s="12" t="str">
        <f aca="false">IF(OR(G58="",G58=0),"",H58/G58)</f>
        <v/>
      </c>
      <c r="J58" s="24" t="str">
        <f aca="false">IF(G58="","Set price",IF(G58&lt;F58,"LOSS",IF(G58=F58,"Break-even","OK")))</f>
        <v>Set price</v>
      </c>
      <c r="K58" s="10" t="str">
        <f aca="false">IF(H58="","",H58*100)</f>
        <v/>
      </c>
      <c r="L58" s="10" t="n">
        <f aca="false">CEILING(F58*(1+Settings!$B$4),5)</f>
        <v>4845</v>
      </c>
    </row>
    <row r="59" customFormat="false" ht="15" hidden="false" customHeight="false" outlineLevel="0" collapsed="false">
      <c r="A59" s="13" t="s">
        <v>33</v>
      </c>
      <c r="B59" s="9" t="s">
        <v>85</v>
      </c>
      <c r="C59" s="9" t="s">
        <v>180</v>
      </c>
      <c r="D59" s="9" t="s">
        <v>87</v>
      </c>
      <c r="E59" s="21" t="s">
        <v>88</v>
      </c>
      <c r="F59" s="25" t="n">
        <f aca="false">'Data Plans'!G59</f>
        <v>92.64</v>
      </c>
      <c r="G59" s="23"/>
      <c r="H59" s="10" t="str">
        <f aca="false">IF(G59="","",G59-F59)</f>
        <v/>
      </c>
      <c r="I59" s="12" t="str">
        <f aca="false">IF(OR(G59="",G59=0),"",H59/G59)</f>
        <v/>
      </c>
      <c r="J59" s="24" t="str">
        <f aca="false">IF(G59="","Set price",IF(G59&lt;F59,"LOSS",IF(G59=F59,"Break-even","OK")))</f>
        <v>Set price</v>
      </c>
      <c r="K59" s="10" t="str">
        <f aca="false">IF(H59="","",H59*100)</f>
        <v/>
      </c>
      <c r="L59" s="10" t="n">
        <f aca="false">CEILING(F59*(1+Settings!$B$4),5)</f>
        <v>100</v>
      </c>
    </row>
    <row r="60" customFormat="false" ht="15" hidden="false" customHeight="false" outlineLevel="0" collapsed="false">
      <c r="A60" s="13" t="s">
        <v>33</v>
      </c>
      <c r="B60" s="9" t="s">
        <v>85</v>
      </c>
      <c r="C60" s="9" t="s">
        <v>181</v>
      </c>
      <c r="D60" s="9" t="s">
        <v>98</v>
      </c>
      <c r="E60" s="21" t="s">
        <v>90</v>
      </c>
      <c r="F60" s="25" t="n">
        <f aca="false">'Data Plans'!G60</f>
        <v>185.27</v>
      </c>
      <c r="G60" s="23"/>
      <c r="H60" s="10" t="str">
        <f aca="false">IF(G60="","",G60-F60)</f>
        <v/>
      </c>
      <c r="I60" s="12" t="str">
        <f aca="false">IF(OR(G60="",G60=0),"",H60/G60)</f>
        <v/>
      </c>
      <c r="J60" s="24" t="str">
        <f aca="false">IF(G60="","Set price",IF(G60&lt;F60,"LOSS",IF(G60=F60,"Break-even","OK")))</f>
        <v>Set price</v>
      </c>
      <c r="K60" s="10" t="str">
        <f aca="false">IF(H60="","",H60*100)</f>
        <v/>
      </c>
      <c r="L60" s="10" t="n">
        <f aca="false">CEILING(F60*(1+Settings!$B$4),5)</f>
        <v>195</v>
      </c>
    </row>
    <row r="61" customFormat="false" ht="15" hidden="false" customHeight="false" outlineLevel="0" collapsed="false">
      <c r="A61" s="13" t="s">
        <v>33</v>
      </c>
      <c r="B61" s="9" t="s">
        <v>102</v>
      </c>
      <c r="C61" s="9" t="s">
        <v>182</v>
      </c>
      <c r="D61" s="9" t="s">
        <v>148</v>
      </c>
      <c r="E61" s="21" t="s">
        <v>94</v>
      </c>
      <c r="F61" s="25" t="n">
        <f aca="false">'Data Plans'!G61</f>
        <v>463.18</v>
      </c>
      <c r="G61" s="23"/>
      <c r="H61" s="10" t="str">
        <f aca="false">IF(G61="","",G61-F61)</f>
        <v/>
      </c>
      <c r="I61" s="12" t="str">
        <f aca="false">IF(OR(G61="",G61=0),"",H61/G61)</f>
        <v/>
      </c>
      <c r="J61" s="24" t="str">
        <f aca="false">IF(G61="","Set price",IF(G61&lt;F61,"LOSS",IF(G61=F61,"Break-even","OK")))</f>
        <v>Set price</v>
      </c>
      <c r="K61" s="10" t="str">
        <f aca="false">IF(H61="","",H61*100)</f>
        <v/>
      </c>
      <c r="L61" s="10" t="n">
        <f aca="false">CEILING(F61*(1+Settings!$B$4),5)</f>
        <v>490</v>
      </c>
    </row>
    <row r="62" customFormat="false" ht="15" hidden="false" customHeight="false" outlineLevel="0" collapsed="false">
      <c r="A62" s="13" t="s">
        <v>33</v>
      </c>
      <c r="B62" s="9" t="s">
        <v>102</v>
      </c>
      <c r="C62" s="9" t="s">
        <v>183</v>
      </c>
      <c r="D62" s="9" t="s">
        <v>69</v>
      </c>
      <c r="E62" s="21" t="s">
        <v>101</v>
      </c>
      <c r="F62" s="25" t="n">
        <f aca="false">'Data Plans'!G62</f>
        <v>926.35</v>
      </c>
      <c r="G62" s="23"/>
      <c r="H62" s="10" t="str">
        <f aca="false">IF(G62="","",G62-F62)</f>
        <v/>
      </c>
      <c r="I62" s="12" t="str">
        <f aca="false">IF(OR(G62="",G62=0),"",H62/G62)</f>
        <v/>
      </c>
      <c r="J62" s="24" t="str">
        <f aca="false">IF(G62="","Set price",IF(G62&lt;F62,"LOSS",IF(G62=F62,"Break-even","OK")))</f>
        <v>Set price</v>
      </c>
      <c r="K62" s="10" t="str">
        <f aca="false">IF(H62="","",H62*100)</f>
        <v/>
      </c>
      <c r="L62" s="10" t="n">
        <f aca="false">CEILING(F62*(1+Settings!$B$4),5)</f>
        <v>975</v>
      </c>
    </row>
    <row r="63" customFormat="false" ht="15" hidden="false" customHeight="false" outlineLevel="0" collapsed="false">
      <c r="A63" s="13" t="s">
        <v>33</v>
      </c>
      <c r="B63" s="9" t="s">
        <v>102</v>
      </c>
      <c r="C63" s="9" t="s">
        <v>184</v>
      </c>
      <c r="D63" s="9" t="s">
        <v>69</v>
      </c>
      <c r="E63" s="21" t="s">
        <v>185</v>
      </c>
      <c r="F63" s="25" t="n">
        <f aca="false">'Data Plans'!G63</f>
        <v>1389.53</v>
      </c>
      <c r="G63" s="23"/>
      <c r="H63" s="10" t="str">
        <f aca="false">IF(G63="","",G63-F63)</f>
        <v/>
      </c>
      <c r="I63" s="12" t="str">
        <f aca="false">IF(OR(G63="",G63=0),"",H63/G63)</f>
        <v/>
      </c>
      <c r="J63" s="24" t="str">
        <f aca="false">IF(G63="","Set price",IF(G63&lt;F63,"LOSS",IF(G63=F63,"Break-even","OK")))</f>
        <v>Set price</v>
      </c>
      <c r="K63" s="10" t="str">
        <f aca="false">IF(H63="","",H63*100)</f>
        <v/>
      </c>
      <c r="L63" s="10" t="n">
        <f aca="false">CEILING(F63*(1+Settings!$B$4),5)</f>
        <v>1460</v>
      </c>
    </row>
    <row r="64" customFormat="false" ht="15" hidden="false" customHeight="false" outlineLevel="0" collapsed="false">
      <c r="A64" s="13" t="s">
        <v>33</v>
      </c>
      <c r="B64" s="9" t="s">
        <v>102</v>
      </c>
      <c r="C64" s="9" t="s">
        <v>186</v>
      </c>
      <c r="D64" s="9" t="s">
        <v>69</v>
      </c>
      <c r="E64" s="21" t="s">
        <v>118</v>
      </c>
      <c r="F64" s="25" t="n">
        <f aca="false">'Data Plans'!G64</f>
        <v>1852.7</v>
      </c>
      <c r="G64" s="23"/>
      <c r="H64" s="10" t="str">
        <f aca="false">IF(G64="","",G64-F64)</f>
        <v/>
      </c>
      <c r="I64" s="12" t="str">
        <f aca="false">IF(OR(G64="",G64=0),"",H64/G64)</f>
        <v/>
      </c>
      <c r="J64" s="24" t="str">
        <f aca="false">IF(G64="","Set price",IF(G64&lt;F64,"LOSS",IF(G64=F64,"Break-even","OK")))</f>
        <v>Set price</v>
      </c>
      <c r="K64" s="10" t="str">
        <f aca="false">IF(H64="","",H64*100)</f>
        <v/>
      </c>
      <c r="L64" s="10" t="n">
        <f aca="false">CEILING(F64*(1+Settings!$B$4),5)</f>
        <v>1950</v>
      </c>
    </row>
    <row r="65" customFormat="false" ht="15" hidden="false" customHeight="false" outlineLevel="0" collapsed="false">
      <c r="A65" s="13" t="s">
        <v>33</v>
      </c>
      <c r="B65" s="9" t="s">
        <v>102</v>
      </c>
      <c r="C65" s="9" t="s">
        <v>187</v>
      </c>
      <c r="D65" s="9" t="s">
        <v>69</v>
      </c>
      <c r="E65" s="21" t="s">
        <v>112</v>
      </c>
      <c r="F65" s="25" t="n">
        <f aca="false">'Data Plans'!G65</f>
        <v>2315.88</v>
      </c>
      <c r="G65" s="23"/>
      <c r="H65" s="10" t="str">
        <f aca="false">IF(G65="","",G65-F65)</f>
        <v/>
      </c>
      <c r="I65" s="12" t="str">
        <f aca="false">IF(OR(G65="",G65=0),"",H65/G65)</f>
        <v/>
      </c>
      <c r="J65" s="24" t="str">
        <f aca="false">IF(G65="","Set price",IF(G65&lt;F65,"LOSS",IF(G65=F65,"Break-even","OK")))</f>
        <v>Set price</v>
      </c>
      <c r="K65" s="10" t="str">
        <f aca="false">IF(H65="","",H65*100)</f>
        <v/>
      </c>
      <c r="L65" s="10" t="n">
        <f aca="false">CEILING(F65*(1+Settings!$B$4),5)</f>
        <v>2435</v>
      </c>
    </row>
    <row r="66" customFormat="false" ht="15" hidden="false" customHeight="false" outlineLevel="0" collapsed="false">
      <c r="A66" s="13" t="s">
        <v>33</v>
      </c>
      <c r="B66" s="9" t="s">
        <v>102</v>
      </c>
      <c r="C66" s="9" t="s">
        <v>188</v>
      </c>
      <c r="D66" s="9" t="s">
        <v>69</v>
      </c>
      <c r="E66" s="21" t="s">
        <v>189</v>
      </c>
      <c r="F66" s="25" t="n">
        <f aca="false">'Data Plans'!G66</f>
        <v>2779.05</v>
      </c>
      <c r="G66" s="23"/>
      <c r="H66" s="10" t="str">
        <f aca="false">IF(G66="","",G66-F66)</f>
        <v/>
      </c>
      <c r="I66" s="12" t="str">
        <f aca="false">IF(OR(G66="",G66=0),"",H66/G66)</f>
        <v/>
      </c>
      <c r="J66" s="24" t="str">
        <f aca="false">IF(G66="","Set price",IF(G66&lt;F66,"LOSS",IF(G66=F66,"Break-even","OK")))</f>
        <v>Set price</v>
      </c>
      <c r="K66" s="10" t="str">
        <f aca="false">IF(H66="","",H66*100)</f>
        <v/>
      </c>
      <c r="L66" s="10" t="n">
        <f aca="false">CEILING(F66*(1+Settings!$B$4),5)</f>
        <v>2920</v>
      </c>
    </row>
    <row r="67" customFormat="false" ht="15" hidden="false" customHeight="false" outlineLevel="0" collapsed="false">
      <c r="A67" s="13" t="s">
        <v>33</v>
      </c>
      <c r="B67" s="9" t="s">
        <v>102</v>
      </c>
      <c r="C67" s="9" t="s">
        <v>190</v>
      </c>
      <c r="D67" s="9" t="s">
        <v>69</v>
      </c>
      <c r="E67" s="21" t="s">
        <v>191</v>
      </c>
      <c r="F67" s="25" t="n">
        <f aca="false">'Data Plans'!G67</f>
        <v>3705.4</v>
      </c>
      <c r="G67" s="23"/>
      <c r="H67" s="10" t="str">
        <f aca="false">IF(G67="","",G67-F67)</f>
        <v/>
      </c>
      <c r="I67" s="12" t="str">
        <f aca="false">IF(OR(G67="",G67=0),"",H67/G67)</f>
        <v/>
      </c>
      <c r="J67" s="24" t="str">
        <f aca="false">IF(G67="","Set price",IF(G67&lt;F67,"LOSS",IF(G67=F67,"Break-even","OK")))</f>
        <v>Set price</v>
      </c>
      <c r="K67" s="10" t="str">
        <f aca="false">IF(H67="","",H67*100)</f>
        <v/>
      </c>
      <c r="L67" s="10" t="n">
        <f aca="false">CEILING(F67*(1+Settings!$B$4),5)</f>
        <v>3895</v>
      </c>
    </row>
    <row r="68" customFormat="false" ht="15" hidden="false" customHeight="false" outlineLevel="0" collapsed="false">
      <c r="A68" s="13" t="s">
        <v>33</v>
      </c>
      <c r="B68" s="9" t="s">
        <v>102</v>
      </c>
      <c r="C68" s="9" t="s">
        <v>192</v>
      </c>
      <c r="D68" s="9" t="s">
        <v>69</v>
      </c>
      <c r="E68" s="21" t="s">
        <v>143</v>
      </c>
      <c r="F68" s="25" t="n">
        <f aca="false">'Data Plans'!G68</f>
        <v>4631.75</v>
      </c>
      <c r="G68" s="23"/>
      <c r="H68" s="10" t="str">
        <f aca="false">IF(G68="","",G68-F68)</f>
        <v/>
      </c>
      <c r="I68" s="12" t="str">
        <f aca="false">IF(OR(G68="",G68=0),"",H68/G68)</f>
        <v/>
      </c>
      <c r="J68" s="24" t="str">
        <f aca="false">IF(G68="","Set price",IF(G68&lt;F68,"LOSS",IF(G68=F68,"Break-even","OK")))</f>
        <v>Set price</v>
      </c>
      <c r="K68" s="10" t="str">
        <f aca="false">IF(H68="","",H68*100)</f>
        <v/>
      </c>
      <c r="L68" s="10" t="n">
        <f aca="false">CEILING(F68*(1+Settings!$B$4),5)</f>
        <v>4865</v>
      </c>
    </row>
    <row r="69" customFormat="false" ht="15" hidden="false" customHeight="false" outlineLevel="0" collapsed="false">
      <c r="A69" s="13" t="s">
        <v>33</v>
      </c>
      <c r="B69" s="9" t="s">
        <v>102</v>
      </c>
      <c r="C69" s="9" t="s">
        <v>193</v>
      </c>
      <c r="D69" s="9" t="s">
        <v>69</v>
      </c>
      <c r="E69" s="21" t="s">
        <v>194</v>
      </c>
      <c r="F69" s="25" t="n">
        <f aca="false">'Data Plans'!G69</f>
        <v>7410.8</v>
      </c>
      <c r="G69" s="23"/>
      <c r="H69" s="10" t="str">
        <f aca="false">IF(G69="","",G69-F69)</f>
        <v/>
      </c>
      <c r="I69" s="12" t="str">
        <f aca="false">IF(OR(G69="",G69=0),"",H69/G69)</f>
        <v/>
      </c>
      <c r="J69" s="24" t="str">
        <f aca="false">IF(G69="","Set price",IF(G69&lt;F69,"LOSS",IF(G69=F69,"Break-even","OK")))</f>
        <v>Set price</v>
      </c>
      <c r="K69" s="10" t="str">
        <f aca="false">IF(H69="","",H69*100)</f>
        <v/>
      </c>
      <c r="L69" s="10" t="n">
        <f aca="false">CEILING(F69*(1+Settings!$B$4),5)</f>
        <v>7785</v>
      </c>
    </row>
    <row r="70" customFormat="false" ht="15" hidden="false" customHeight="false" outlineLevel="0" collapsed="false">
      <c r="A70" s="13" t="s">
        <v>33</v>
      </c>
      <c r="B70" s="9" t="s">
        <v>102</v>
      </c>
      <c r="C70" s="9" t="s">
        <v>195</v>
      </c>
      <c r="D70" s="9" t="s">
        <v>69</v>
      </c>
      <c r="E70" s="21" t="s">
        <v>196</v>
      </c>
      <c r="F70" s="25" t="n">
        <f aca="false">'Data Plans'!G70</f>
        <v>9263.5</v>
      </c>
      <c r="G70" s="23"/>
      <c r="H70" s="10" t="str">
        <f aca="false">IF(G70="","",G70-F70)</f>
        <v/>
      </c>
      <c r="I70" s="12" t="str">
        <f aca="false">IF(OR(G70="",G70=0),"",H70/G70)</f>
        <v/>
      </c>
      <c r="J70" s="24" t="str">
        <f aca="false">IF(G70="","Set price",IF(G70&lt;F70,"LOSS",IF(G70=F70,"Break-even","OK")))</f>
        <v>Set price</v>
      </c>
      <c r="K70" s="10" t="str">
        <f aca="false">IF(H70="","",H70*100)</f>
        <v/>
      </c>
      <c r="L70" s="10" t="n">
        <f aca="false">CEILING(F70*(1+Settings!$B$4),5)</f>
        <v>9730</v>
      </c>
    </row>
    <row r="71" customFormat="false" ht="15" hidden="false" customHeight="false" outlineLevel="0" collapsed="false">
      <c r="A71" s="13" t="s">
        <v>33</v>
      </c>
      <c r="B71" s="9" t="s">
        <v>102</v>
      </c>
      <c r="C71" s="9" t="s">
        <v>197</v>
      </c>
      <c r="D71" s="9" t="s">
        <v>69</v>
      </c>
      <c r="E71" s="21" t="s">
        <v>198</v>
      </c>
      <c r="F71" s="25" t="n">
        <f aca="false">'Data Plans'!G71</f>
        <v>13895.25</v>
      </c>
      <c r="G71" s="23"/>
      <c r="H71" s="10" t="str">
        <f aca="false">IF(G71="","",G71-F71)</f>
        <v/>
      </c>
      <c r="I71" s="12" t="str">
        <f aca="false">IF(OR(G71="",G71=0),"",H71/G71)</f>
        <v/>
      </c>
      <c r="J71" s="24" t="str">
        <f aca="false">IF(G71="","Set price",IF(G71&lt;F71,"LOSS",IF(G71=F71,"Break-even","OK")))</f>
        <v>Set price</v>
      </c>
      <c r="K71" s="10" t="str">
        <f aca="false">IF(H71="","",H71*100)</f>
        <v/>
      </c>
      <c r="L71" s="10" t="n">
        <f aca="false">CEILING(F71*(1+Settings!$B$4),5)</f>
        <v>14595</v>
      </c>
    </row>
    <row r="72" customFormat="false" ht="15" hidden="false" customHeight="false" outlineLevel="0" collapsed="false">
      <c r="A72" s="13" t="s">
        <v>33</v>
      </c>
      <c r="B72" s="9" t="s">
        <v>102</v>
      </c>
      <c r="C72" s="9" t="s">
        <v>199</v>
      </c>
      <c r="D72" s="9" t="s">
        <v>69</v>
      </c>
      <c r="E72" s="21" t="s">
        <v>200</v>
      </c>
      <c r="F72" s="25" t="n">
        <f aca="false">'Data Plans'!G72</f>
        <v>18527</v>
      </c>
      <c r="G72" s="23"/>
      <c r="H72" s="10" t="str">
        <f aca="false">IF(G72="","",G72-F72)</f>
        <v/>
      </c>
      <c r="I72" s="12" t="str">
        <f aca="false">IF(OR(G72="",G72=0),"",H72/G72)</f>
        <v/>
      </c>
      <c r="J72" s="24" t="str">
        <f aca="false">IF(G72="","Set price",IF(G72&lt;F72,"LOSS",IF(G72=F72,"Break-even","OK")))</f>
        <v>Set price</v>
      </c>
      <c r="K72" s="10" t="str">
        <f aca="false">IF(H72="","",H72*100)</f>
        <v/>
      </c>
      <c r="L72" s="10" t="n">
        <f aca="false">CEILING(F72*(1+Settings!$B$4),5)</f>
        <v>19455</v>
      </c>
    </row>
    <row r="73" customFormat="false" ht="15" hidden="false" customHeight="false" outlineLevel="0" collapsed="false">
      <c r="A73" s="13" t="s">
        <v>33</v>
      </c>
      <c r="B73" s="9" t="s">
        <v>85</v>
      </c>
      <c r="C73" s="9" t="s">
        <v>201</v>
      </c>
      <c r="D73" s="9" t="s">
        <v>87</v>
      </c>
      <c r="E73" s="21" t="s">
        <v>104</v>
      </c>
      <c r="F73" s="25" t="n">
        <f aca="false">'Data Plans'!G73</f>
        <v>463.18</v>
      </c>
      <c r="G73" s="23"/>
      <c r="H73" s="10" t="str">
        <f aca="false">IF(G73="","",G73-F73)</f>
        <v/>
      </c>
      <c r="I73" s="12" t="str">
        <f aca="false">IF(OR(G73="",G73=0),"",H73/G73)</f>
        <v/>
      </c>
      <c r="J73" s="24" t="str">
        <f aca="false">IF(G73="","Set price",IF(G73&lt;F73,"LOSS",IF(G73=F73,"Break-even","OK")))</f>
        <v>Set price</v>
      </c>
      <c r="K73" s="10" t="str">
        <f aca="false">IF(H73="","",H73*100)</f>
        <v/>
      </c>
      <c r="L73" s="10" t="n">
        <f aca="false">CEILING(F73*(1+Settings!$B$4),5)</f>
        <v>490</v>
      </c>
    </row>
    <row r="74" customFormat="false" ht="15" hidden="false" customHeight="false" outlineLevel="0" collapsed="false">
      <c r="A74" s="13" t="s">
        <v>33</v>
      </c>
      <c r="B74" s="9" t="s">
        <v>102</v>
      </c>
      <c r="C74" s="9" t="s">
        <v>202</v>
      </c>
      <c r="D74" s="9" t="s">
        <v>66</v>
      </c>
      <c r="E74" s="21" t="s">
        <v>116</v>
      </c>
      <c r="F74" s="25" t="n">
        <f aca="false">'Data Plans'!G74</f>
        <v>1389.53</v>
      </c>
      <c r="G74" s="23"/>
      <c r="H74" s="10" t="str">
        <f aca="false">IF(G74="","",G74-F74)</f>
        <v/>
      </c>
      <c r="I74" s="12" t="str">
        <f aca="false">IF(OR(G74="",G74=0),"",H74/G74)</f>
        <v/>
      </c>
      <c r="J74" s="24" t="str">
        <f aca="false">IF(G74="","Set price",IF(G74&lt;F74,"LOSS",IF(G74=F74,"Break-even","OK")))</f>
        <v>Set price</v>
      </c>
      <c r="K74" s="10" t="str">
        <f aca="false">IF(H74="","",H74*100)</f>
        <v/>
      </c>
      <c r="L74" s="10" t="n">
        <f aca="false">CEILING(F74*(1+Settings!$B$4),5)</f>
        <v>1460</v>
      </c>
    </row>
    <row r="75" customFormat="false" ht="15" hidden="false" customHeight="false" outlineLevel="0" collapsed="false">
      <c r="A75" s="13" t="s">
        <v>33</v>
      </c>
      <c r="B75" s="9" t="s">
        <v>85</v>
      </c>
      <c r="C75" s="9" t="s">
        <v>203</v>
      </c>
      <c r="D75" s="9" t="s">
        <v>204</v>
      </c>
      <c r="E75" s="21" t="s">
        <v>205</v>
      </c>
      <c r="F75" s="25" t="n">
        <f aca="false">'Data Plans'!G75</f>
        <v>463.18</v>
      </c>
      <c r="G75" s="23"/>
      <c r="H75" s="10" t="str">
        <f aca="false">IF(G75="","",G75-F75)</f>
        <v/>
      </c>
      <c r="I75" s="12" t="str">
        <f aca="false">IF(OR(G75="",G75=0),"",H75/G75)</f>
        <v/>
      </c>
      <c r="J75" s="24" t="str">
        <f aca="false">IF(G75="","Set price",IF(G75&lt;F75,"LOSS",IF(G75=F75,"Break-even","OK")))</f>
        <v>Set price</v>
      </c>
      <c r="K75" s="10" t="str">
        <f aca="false">IF(H75="","",H75*100)</f>
        <v/>
      </c>
      <c r="L75" s="10" t="n">
        <f aca="false">CEILING(F75*(1+Settings!$B$4),5)</f>
        <v>490</v>
      </c>
    </row>
    <row r="76" customFormat="false" ht="15" hidden="false" customHeight="false" outlineLevel="0" collapsed="false">
      <c r="A76" s="13" t="s">
        <v>33</v>
      </c>
      <c r="B76" s="9" t="s">
        <v>85</v>
      </c>
      <c r="C76" s="9" t="s">
        <v>206</v>
      </c>
      <c r="D76" s="9" t="s">
        <v>204</v>
      </c>
      <c r="E76" s="21" t="s">
        <v>207</v>
      </c>
      <c r="F76" s="25" t="n">
        <f aca="false">'Data Plans'!G76</f>
        <v>185.27</v>
      </c>
      <c r="G76" s="23"/>
      <c r="H76" s="10" t="str">
        <f aca="false">IF(G76="","",G76-F76)</f>
        <v/>
      </c>
      <c r="I76" s="12" t="str">
        <f aca="false">IF(OR(G76="",G76=0),"",H76/G76)</f>
        <v/>
      </c>
      <c r="J76" s="24" t="str">
        <f aca="false">IF(G76="","Set price",IF(G76&lt;F76,"LOSS",IF(G76=F76,"Break-even","OK")))</f>
        <v>Set price</v>
      </c>
      <c r="K76" s="10" t="str">
        <f aca="false">IF(H76="","",H76*100)</f>
        <v/>
      </c>
      <c r="L76" s="10" t="n">
        <f aca="false">CEILING(F76*(1+Settings!$B$4),5)</f>
        <v>195</v>
      </c>
    </row>
    <row r="77" customFormat="false" ht="15" hidden="false" customHeight="false" outlineLevel="0" collapsed="false">
      <c r="A77" s="13" t="s">
        <v>33</v>
      </c>
      <c r="B77" s="9" t="s">
        <v>102</v>
      </c>
      <c r="C77" s="9" t="s">
        <v>208</v>
      </c>
      <c r="D77" s="9" t="s">
        <v>69</v>
      </c>
      <c r="E77" s="21" t="s">
        <v>209</v>
      </c>
      <c r="F77" s="25" t="n">
        <f aca="false">'Data Plans'!G77</f>
        <v>27790.5</v>
      </c>
      <c r="G77" s="23"/>
      <c r="H77" s="10" t="str">
        <f aca="false">IF(G77="","",G77-F77)</f>
        <v/>
      </c>
      <c r="I77" s="12" t="str">
        <f aca="false">IF(OR(G77="",G77=0),"",H77/G77)</f>
        <v/>
      </c>
      <c r="J77" s="24" t="str">
        <f aca="false">IF(G77="","Set price",IF(G77&lt;F77,"LOSS",IF(G77=F77,"Break-even","OK")))</f>
        <v>Set price</v>
      </c>
      <c r="K77" s="10" t="str">
        <f aca="false">IF(H77="","",H77*100)</f>
        <v/>
      </c>
      <c r="L77" s="10" t="n">
        <f aca="false">CEILING(F77*(1+Settings!$B$4),5)</f>
        <v>29185</v>
      </c>
    </row>
    <row r="78" customFormat="false" ht="15" hidden="false" customHeight="false" outlineLevel="0" collapsed="false">
      <c r="A78" s="13" t="s">
        <v>33</v>
      </c>
      <c r="B78" s="9" t="s">
        <v>102</v>
      </c>
      <c r="C78" s="9" t="s">
        <v>210</v>
      </c>
      <c r="D78" s="9" t="s">
        <v>69</v>
      </c>
      <c r="E78" s="21" t="s">
        <v>211</v>
      </c>
      <c r="F78" s="25" t="n">
        <f aca="false">'Data Plans'!G78</f>
        <v>37054</v>
      </c>
      <c r="G78" s="23"/>
      <c r="H78" s="10" t="str">
        <f aca="false">IF(G78="","",G78-F78)</f>
        <v/>
      </c>
      <c r="I78" s="12" t="str">
        <f aca="false">IF(OR(G78="",G78=0),"",H78/G78)</f>
        <v/>
      </c>
      <c r="J78" s="24" t="str">
        <f aca="false">IF(G78="","Set price",IF(G78&lt;F78,"LOSS",IF(G78=F78,"Break-even","OK")))</f>
        <v>Set price</v>
      </c>
      <c r="K78" s="10" t="str">
        <f aca="false">IF(H78="","",H78*100)</f>
        <v/>
      </c>
      <c r="L78" s="10" t="n">
        <f aca="false">CEILING(F78*(1+Settings!$B$4),5)</f>
        <v>38910</v>
      </c>
    </row>
    <row r="79" customFormat="false" ht="15" hidden="false" customHeight="false" outlineLevel="0" collapsed="false">
      <c r="A79" s="13" t="s">
        <v>33</v>
      </c>
      <c r="B79" s="9" t="s">
        <v>102</v>
      </c>
      <c r="C79" s="9" t="s">
        <v>212</v>
      </c>
      <c r="D79" s="9" t="s">
        <v>69</v>
      </c>
      <c r="E79" s="21" t="s">
        <v>213</v>
      </c>
      <c r="F79" s="25" t="n">
        <f aca="false">'Data Plans'!G79</f>
        <v>46317.5</v>
      </c>
      <c r="G79" s="23"/>
      <c r="H79" s="10" t="str">
        <f aca="false">IF(G79="","",G79-F79)</f>
        <v/>
      </c>
      <c r="I79" s="12" t="str">
        <f aca="false">IF(OR(G79="",G79=0),"",H79/G79)</f>
        <v/>
      </c>
      <c r="J79" s="24" t="str">
        <f aca="false">IF(G79="","Set price",IF(G79&lt;F79,"LOSS",IF(G79=F79,"Break-even","OK")))</f>
        <v>Set price</v>
      </c>
      <c r="K79" s="10" t="str">
        <f aca="false">IF(H79="","",H79*100)</f>
        <v/>
      </c>
      <c r="L79" s="10" t="n">
        <f aca="false">CEILING(F79*(1+Settings!$B$4),5)</f>
        <v>48635</v>
      </c>
    </row>
    <row r="80" customFormat="false" ht="15" hidden="false" customHeight="false" outlineLevel="0" collapsed="false">
      <c r="A80" s="13" t="s">
        <v>33</v>
      </c>
      <c r="B80" s="9" t="s">
        <v>102</v>
      </c>
      <c r="C80" s="9" t="s">
        <v>214</v>
      </c>
      <c r="D80" s="9" t="s">
        <v>69</v>
      </c>
      <c r="E80" s="21" t="s">
        <v>215</v>
      </c>
      <c r="F80" s="25" t="n">
        <f aca="false">'Data Plans'!G80</f>
        <v>55581</v>
      </c>
      <c r="G80" s="23"/>
      <c r="H80" s="10" t="str">
        <f aca="false">IF(G80="","",G80-F80)</f>
        <v/>
      </c>
      <c r="I80" s="12" t="str">
        <f aca="false">IF(OR(G80="",G80=0),"",H80/G80)</f>
        <v/>
      </c>
      <c r="J80" s="24" t="str">
        <f aca="false">IF(G80="","Set price",IF(G80&lt;F80,"LOSS",IF(G80=F80,"Break-even","OK")))</f>
        <v>Set price</v>
      </c>
      <c r="K80" s="10" t="str">
        <f aca="false">IF(H80="","",H80*100)</f>
        <v/>
      </c>
      <c r="L80" s="10" t="n">
        <f aca="false">CEILING(F80*(1+Settings!$B$4),5)</f>
        <v>58365</v>
      </c>
    </row>
    <row r="81" customFormat="false" ht="15" hidden="false" customHeight="false" outlineLevel="0" collapsed="false">
      <c r="A81" s="13" t="s">
        <v>33</v>
      </c>
      <c r="B81" s="9" t="s">
        <v>102</v>
      </c>
      <c r="C81" s="9" t="s">
        <v>216</v>
      </c>
      <c r="D81" s="9" t="s">
        <v>69</v>
      </c>
      <c r="E81" s="21" t="s">
        <v>217</v>
      </c>
      <c r="F81" s="25" t="n">
        <f aca="false">'Data Plans'!G81</f>
        <v>69476.25</v>
      </c>
      <c r="G81" s="23"/>
      <c r="H81" s="10" t="str">
        <f aca="false">IF(G81="","",G81-F81)</f>
        <v/>
      </c>
      <c r="I81" s="12" t="str">
        <f aca="false">IF(OR(G81="",G81=0),"",H81/G81)</f>
        <v/>
      </c>
      <c r="J81" s="24" t="str">
        <f aca="false">IF(G81="","Set price",IF(G81&lt;F81,"LOSS",IF(G81=F81,"Break-even","OK")))</f>
        <v>Set price</v>
      </c>
      <c r="K81" s="10" t="str">
        <f aca="false">IF(H81="","",H81*100)</f>
        <v/>
      </c>
      <c r="L81" s="10" t="n">
        <f aca="false">CEILING(F81*(1+Settings!$B$4),5)</f>
        <v>72955</v>
      </c>
    </row>
    <row r="82" customFormat="false" ht="15" hidden="false" customHeight="false" outlineLevel="0" collapsed="false">
      <c r="A82" s="13" t="s">
        <v>33</v>
      </c>
      <c r="B82" s="9" t="s">
        <v>102</v>
      </c>
      <c r="C82" s="9" t="s">
        <v>218</v>
      </c>
      <c r="D82" s="9" t="s">
        <v>219</v>
      </c>
      <c r="E82" s="21" t="s">
        <v>220</v>
      </c>
      <c r="F82" s="25" t="n">
        <f aca="false">'Data Plans'!G82</f>
        <v>143250</v>
      </c>
      <c r="G82" s="23"/>
      <c r="H82" s="10" t="str">
        <f aca="false">IF(G82="","",G82-F82)</f>
        <v/>
      </c>
      <c r="I82" s="12" t="str">
        <f aca="false">IF(OR(G82="",G82=0),"",H82/G82)</f>
        <v/>
      </c>
      <c r="J82" s="24" t="str">
        <f aca="false">IF(G82="","Set price",IF(G82&lt;F82,"LOSS",IF(G82=F82,"Break-even","OK")))</f>
        <v>Set price</v>
      </c>
      <c r="K82" s="10" t="str">
        <f aca="false">IF(H82="","",H82*100)</f>
        <v/>
      </c>
      <c r="L82" s="10" t="n">
        <f aca="false">CEILING(F82*(1+Settings!$B$4),5)</f>
        <v>150415</v>
      </c>
    </row>
    <row r="83" customFormat="false" ht="15" hidden="false" customHeight="false" outlineLevel="0" collapsed="false">
      <c r="A83" s="14" t="s">
        <v>34</v>
      </c>
      <c r="B83" s="9" t="s">
        <v>85</v>
      </c>
      <c r="C83" s="9" t="s">
        <v>221</v>
      </c>
      <c r="D83" s="9" t="s">
        <v>87</v>
      </c>
      <c r="E83" s="21" t="s">
        <v>222</v>
      </c>
      <c r="F83" s="25" t="n">
        <f aca="false">'Data Plans'!G83</f>
        <v>470.37</v>
      </c>
      <c r="G83" s="23"/>
      <c r="H83" s="10" t="str">
        <f aca="false">IF(G83="","",G83-F83)</f>
        <v/>
      </c>
      <c r="I83" s="12" t="str">
        <f aca="false">IF(OR(G83="",G83=0),"",H83/G83)</f>
        <v/>
      </c>
      <c r="J83" s="24" t="str">
        <f aca="false">IF(G83="","Set price",IF(G83&lt;F83,"LOSS",IF(G83=F83,"Break-even","OK")))</f>
        <v>Set price</v>
      </c>
      <c r="K83" s="10" t="str">
        <f aca="false">IF(H83="","",H83*100)</f>
        <v/>
      </c>
      <c r="L83" s="10" t="n">
        <f aca="false">CEILING(F83*(1+Settings!$B$4),5)</f>
        <v>495</v>
      </c>
    </row>
    <row r="84" customFormat="false" ht="15" hidden="false" customHeight="false" outlineLevel="0" collapsed="false">
      <c r="A84" s="14" t="s">
        <v>34</v>
      </c>
      <c r="B84" s="9" t="s">
        <v>85</v>
      </c>
      <c r="C84" s="9" t="s">
        <v>223</v>
      </c>
      <c r="D84" s="9" t="s">
        <v>98</v>
      </c>
      <c r="E84" s="21" t="s">
        <v>224</v>
      </c>
      <c r="F84" s="25" t="n">
        <f aca="false">'Data Plans'!G84</f>
        <v>564.46</v>
      </c>
      <c r="G84" s="23"/>
      <c r="H84" s="10" t="str">
        <f aca="false">IF(G84="","",G84-F84)</f>
        <v/>
      </c>
      <c r="I84" s="12" t="str">
        <f aca="false">IF(OR(G84="",G84=0),"",H84/G84)</f>
        <v/>
      </c>
      <c r="J84" s="24" t="str">
        <f aca="false">IF(G84="","Set price",IF(G84&lt;F84,"LOSS",IF(G84=F84,"Break-even","OK")))</f>
        <v>Set price</v>
      </c>
      <c r="K84" s="10" t="str">
        <f aca="false">IF(H84="","",H84*100)</f>
        <v/>
      </c>
      <c r="L84" s="10" t="n">
        <f aca="false">CEILING(F84*(1+Settings!$B$4),5)</f>
        <v>595</v>
      </c>
    </row>
    <row r="85" customFormat="false" ht="15" hidden="false" customHeight="false" outlineLevel="0" collapsed="false">
      <c r="A85" s="14" t="s">
        <v>34</v>
      </c>
      <c r="B85" s="9" t="s">
        <v>85</v>
      </c>
      <c r="C85" s="9" t="s">
        <v>225</v>
      </c>
      <c r="D85" s="9" t="s">
        <v>98</v>
      </c>
      <c r="E85" s="21" t="s">
        <v>226</v>
      </c>
      <c r="F85" s="25" t="n">
        <f aca="false">'Data Plans'!G85</f>
        <v>705.59</v>
      </c>
      <c r="G85" s="23"/>
      <c r="H85" s="10" t="str">
        <f aca="false">IF(G85="","",G85-F85)</f>
        <v/>
      </c>
      <c r="I85" s="12" t="str">
        <f aca="false">IF(OR(G85="",G85=0),"",H85/G85)</f>
        <v/>
      </c>
      <c r="J85" s="24" t="str">
        <f aca="false">IF(G85="","Set price",IF(G85&lt;F85,"LOSS",IF(G85=F85,"Break-even","OK")))</f>
        <v>Set price</v>
      </c>
      <c r="K85" s="10" t="str">
        <f aca="false">IF(H85="","",H85*100)</f>
        <v/>
      </c>
      <c r="L85" s="10" t="n">
        <f aca="false">CEILING(F85*(1+Settings!$B$4),5)</f>
        <v>745</v>
      </c>
    </row>
    <row r="86" customFormat="false" ht="15" hidden="false" customHeight="false" outlineLevel="0" collapsed="false">
      <c r="A86" s="14" t="s">
        <v>34</v>
      </c>
      <c r="B86" s="9" t="s">
        <v>85</v>
      </c>
      <c r="C86" s="9" t="s">
        <v>227</v>
      </c>
      <c r="D86" s="9" t="s">
        <v>98</v>
      </c>
      <c r="E86" s="21" t="s">
        <v>228</v>
      </c>
      <c r="F86" s="25" t="n">
        <f aca="false">'Data Plans'!G86</f>
        <v>940.82</v>
      </c>
      <c r="G86" s="23"/>
      <c r="H86" s="10" t="str">
        <f aca="false">IF(G86="","",G86-F86)</f>
        <v/>
      </c>
      <c r="I86" s="12" t="str">
        <f aca="false">IF(OR(G86="",G86=0),"",H86/G86)</f>
        <v/>
      </c>
      <c r="J86" s="24" t="str">
        <f aca="false">IF(G86="","Set price",IF(G86&lt;F86,"LOSS",IF(G86=F86,"Break-even","OK")))</f>
        <v>Set price</v>
      </c>
      <c r="K86" s="10" t="str">
        <f aca="false">IF(H86="","",H86*100)</f>
        <v/>
      </c>
      <c r="L86" s="10" t="n">
        <f aca="false">CEILING(F86*(1+Settings!$B$4),5)</f>
        <v>990</v>
      </c>
    </row>
    <row r="87" customFormat="false" ht="15" hidden="false" customHeight="false" outlineLevel="0" collapsed="false">
      <c r="A87" s="14" t="s">
        <v>34</v>
      </c>
      <c r="B87" s="9" t="s">
        <v>85</v>
      </c>
      <c r="C87" s="9" t="s">
        <v>229</v>
      </c>
      <c r="D87" s="9" t="s">
        <v>98</v>
      </c>
      <c r="E87" s="21" t="s">
        <v>230</v>
      </c>
      <c r="F87" s="25" t="n">
        <f aca="false">'Data Plans'!G87</f>
        <v>1411.27</v>
      </c>
      <c r="G87" s="23"/>
      <c r="H87" s="10" t="str">
        <f aca="false">IF(G87="","",G87-F87)</f>
        <v/>
      </c>
      <c r="I87" s="12" t="str">
        <f aca="false">IF(OR(G87="",G87=0),"",H87/G87)</f>
        <v/>
      </c>
      <c r="J87" s="24" t="str">
        <f aca="false">IF(G87="","Set price",IF(G87&lt;F87,"LOSS",IF(G87=F87,"Break-even","OK")))</f>
        <v>Set price</v>
      </c>
      <c r="K87" s="10" t="str">
        <f aca="false">IF(H87="","",H87*100)</f>
        <v/>
      </c>
      <c r="L87" s="10" t="n">
        <f aca="false">CEILING(F87*(1+Settings!$B$4),5)</f>
        <v>1485</v>
      </c>
    </row>
    <row r="88" customFormat="false" ht="15" hidden="false" customHeight="false" outlineLevel="0" collapsed="false">
      <c r="A88" s="14" t="s">
        <v>34</v>
      </c>
      <c r="B88" s="9" t="s">
        <v>102</v>
      </c>
      <c r="C88" s="9" t="s">
        <v>231</v>
      </c>
      <c r="D88" s="9" t="s">
        <v>66</v>
      </c>
      <c r="E88" s="21" t="s">
        <v>232</v>
      </c>
      <c r="F88" s="25" t="n">
        <f aca="false">'Data Plans'!G88</f>
        <v>470.37</v>
      </c>
      <c r="G88" s="23"/>
      <c r="H88" s="10" t="str">
        <f aca="false">IF(G88="","",G88-F88)</f>
        <v/>
      </c>
      <c r="I88" s="12" t="str">
        <f aca="false">IF(OR(G88="",G88=0),"",H88/G88)</f>
        <v/>
      </c>
      <c r="J88" s="24" t="str">
        <f aca="false">IF(G88="","Set price",IF(G88&lt;F88,"LOSS",IF(G88=F88,"Break-even","OK")))</f>
        <v>Set price</v>
      </c>
      <c r="K88" s="10" t="str">
        <f aca="false">IF(H88="","",H88*100)</f>
        <v/>
      </c>
      <c r="L88" s="10" t="n">
        <f aca="false">CEILING(F88*(1+Settings!$B$4),5)</f>
        <v>495</v>
      </c>
    </row>
    <row r="89" customFormat="false" ht="15" hidden="false" customHeight="false" outlineLevel="0" collapsed="false">
      <c r="A89" s="14" t="s">
        <v>34</v>
      </c>
      <c r="B89" s="9" t="s">
        <v>102</v>
      </c>
      <c r="C89" s="9" t="s">
        <v>233</v>
      </c>
      <c r="D89" s="9" t="s">
        <v>66</v>
      </c>
      <c r="E89" s="21" t="s">
        <v>234</v>
      </c>
      <c r="F89" s="25" t="n">
        <f aca="false">'Data Plans'!G89</f>
        <v>752.64</v>
      </c>
      <c r="G89" s="23"/>
      <c r="H89" s="10" t="str">
        <f aca="false">IF(G89="","",G89-F89)</f>
        <v/>
      </c>
      <c r="I89" s="12" t="str">
        <f aca="false">IF(OR(G89="",G89=0),"",H89/G89)</f>
        <v/>
      </c>
      <c r="J89" s="24" t="str">
        <f aca="false">IF(G89="","Set price",IF(G89&lt;F89,"LOSS",IF(G89=F89,"Break-even","OK")))</f>
        <v>Set price</v>
      </c>
      <c r="K89" s="10" t="str">
        <f aca="false">IF(H89="","",H89*100)</f>
        <v/>
      </c>
      <c r="L89" s="10" t="n">
        <f aca="false">CEILING(F89*(1+Settings!$B$4),5)</f>
        <v>795</v>
      </c>
    </row>
    <row r="90" customFormat="false" ht="15" hidden="false" customHeight="false" outlineLevel="0" collapsed="false">
      <c r="A90" s="14" t="s">
        <v>34</v>
      </c>
      <c r="B90" s="9" t="s">
        <v>102</v>
      </c>
      <c r="C90" s="9" t="s">
        <v>235</v>
      </c>
      <c r="D90" s="9" t="s">
        <v>66</v>
      </c>
      <c r="E90" s="21" t="s">
        <v>236</v>
      </c>
      <c r="F90" s="25" t="n">
        <f aca="false">'Data Plans'!G90</f>
        <v>940.82</v>
      </c>
      <c r="G90" s="23"/>
      <c r="H90" s="10" t="str">
        <f aca="false">IF(G90="","",G90-F90)</f>
        <v/>
      </c>
      <c r="I90" s="12" t="str">
        <f aca="false">IF(OR(G90="",G90=0),"",H90/G90)</f>
        <v/>
      </c>
      <c r="J90" s="24" t="str">
        <f aca="false">IF(G90="","Set price",IF(G90&lt;F90,"LOSS",IF(G90=F90,"Break-even","OK")))</f>
        <v>Set price</v>
      </c>
      <c r="K90" s="10" t="str">
        <f aca="false">IF(H90="","",H90*100)</f>
        <v/>
      </c>
      <c r="L90" s="10" t="n">
        <f aca="false">CEILING(F90*(1+Settings!$B$4),5)</f>
        <v>990</v>
      </c>
    </row>
    <row r="91" customFormat="false" ht="15" hidden="false" customHeight="false" outlineLevel="0" collapsed="false">
      <c r="A91" s="14" t="s">
        <v>34</v>
      </c>
      <c r="B91" s="9" t="s">
        <v>102</v>
      </c>
      <c r="C91" s="9" t="s">
        <v>237</v>
      </c>
      <c r="D91" s="9" t="s">
        <v>66</v>
      </c>
      <c r="E91" s="21" t="s">
        <v>238</v>
      </c>
      <c r="F91" s="25" t="n">
        <f aca="false">'Data Plans'!G91</f>
        <v>1411.27</v>
      </c>
      <c r="G91" s="23"/>
      <c r="H91" s="10" t="str">
        <f aca="false">IF(G91="","",G91-F91)</f>
        <v/>
      </c>
      <c r="I91" s="12" t="str">
        <f aca="false">IF(OR(G91="",G91=0),"",H91/G91)</f>
        <v/>
      </c>
      <c r="J91" s="24" t="str">
        <f aca="false">IF(G91="","Set price",IF(G91&lt;F91,"LOSS",IF(G91=F91,"Break-even","OK")))</f>
        <v>Set price</v>
      </c>
      <c r="K91" s="10" t="str">
        <f aca="false">IF(H91="","",H91*100)</f>
        <v/>
      </c>
      <c r="L91" s="10" t="n">
        <f aca="false">CEILING(F91*(1+Settings!$B$4),5)</f>
        <v>1485</v>
      </c>
    </row>
    <row r="92" customFormat="false" ht="15" hidden="false" customHeight="false" outlineLevel="0" collapsed="false">
      <c r="A92" s="14" t="s">
        <v>34</v>
      </c>
      <c r="B92" s="9" t="s">
        <v>102</v>
      </c>
      <c r="C92" s="9" t="s">
        <v>202</v>
      </c>
      <c r="D92" s="9" t="s">
        <v>66</v>
      </c>
      <c r="E92" s="21" t="s">
        <v>239</v>
      </c>
      <c r="F92" s="25" t="n">
        <f aca="false">'Data Plans'!G92</f>
        <v>2352.17</v>
      </c>
      <c r="G92" s="23"/>
      <c r="H92" s="10" t="str">
        <f aca="false">IF(G92="","",G92-F92)</f>
        <v/>
      </c>
      <c r="I92" s="12" t="str">
        <f aca="false">IF(OR(G92="",G92=0),"",H92/G92)</f>
        <v/>
      </c>
      <c r="J92" s="24" t="str">
        <f aca="false">IF(G92="","Set price",IF(G92&lt;F92,"LOSS",IF(G92=F92,"Break-even","OK")))</f>
        <v>Set price</v>
      </c>
      <c r="K92" s="10" t="str">
        <f aca="false">IF(H92="","",H92*100)</f>
        <v/>
      </c>
      <c r="L92" s="10" t="n">
        <f aca="false">CEILING(F92*(1+Settings!$B$4),5)</f>
        <v>2470</v>
      </c>
    </row>
    <row r="93" customFormat="false" ht="15" hidden="false" customHeight="false" outlineLevel="0" collapsed="false">
      <c r="A93" s="14" t="s">
        <v>34</v>
      </c>
      <c r="B93" s="9" t="s">
        <v>102</v>
      </c>
      <c r="C93" s="9" t="s">
        <v>240</v>
      </c>
      <c r="D93" s="9" t="s">
        <v>66</v>
      </c>
      <c r="E93" s="21" t="s">
        <v>241</v>
      </c>
      <c r="F93" s="25" t="n">
        <f aca="false">'Data Plans'!G93</f>
        <v>2822.62</v>
      </c>
      <c r="G93" s="23"/>
      <c r="H93" s="10" t="str">
        <f aca="false">IF(G93="","",G93-F93)</f>
        <v/>
      </c>
      <c r="I93" s="12" t="str">
        <f aca="false">IF(OR(G93="",G93=0),"",H93/G93)</f>
        <v/>
      </c>
      <c r="J93" s="24" t="str">
        <f aca="false">IF(G93="","Set price",IF(G93&lt;F93,"LOSS",IF(G93=F93,"Break-even","OK")))</f>
        <v>Set price</v>
      </c>
      <c r="K93" s="10" t="str">
        <f aca="false">IF(H93="","",H93*100)</f>
        <v/>
      </c>
      <c r="L93" s="10" t="n">
        <f aca="false">CEILING(F93*(1+Settings!$B$4),5)</f>
        <v>2965</v>
      </c>
    </row>
    <row r="94" customFormat="false" ht="15" hidden="false" customHeight="false" outlineLevel="0" collapsed="false">
      <c r="A94" s="14" t="s">
        <v>34</v>
      </c>
      <c r="B94" s="9" t="s">
        <v>102</v>
      </c>
      <c r="C94" s="9" t="s">
        <v>242</v>
      </c>
      <c r="D94" s="9" t="s">
        <v>66</v>
      </c>
      <c r="E94" s="21" t="s">
        <v>243</v>
      </c>
      <c r="F94" s="25" t="n">
        <f aca="false">'Data Plans'!G94</f>
        <v>4704.42</v>
      </c>
      <c r="G94" s="23"/>
      <c r="H94" s="10" t="str">
        <f aca="false">IF(G94="","",G94-F94)</f>
        <v/>
      </c>
      <c r="I94" s="12" t="str">
        <f aca="false">IF(OR(G94="",G94=0),"",H94/G94)</f>
        <v/>
      </c>
      <c r="J94" s="24" t="str">
        <f aca="false">IF(G94="","Set price",IF(G94&lt;F94,"LOSS",IF(G94=F94,"Break-even","OK")))</f>
        <v>Set price</v>
      </c>
      <c r="K94" s="10" t="str">
        <f aca="false">IF(H94="","",H94*100)</f>
        <v/>
      </c>
      <c r="L94" s="10" t="n">
        <f aca="false">CEILING(F94*(1+Settings!$B$4),5)</f>
        <v>4940</v>
      </c>
    </row>
    <row r="95" customFormat="false" ht="15" hidden="false" customHeight="false" outlineLevel="0" collapsed="false">
      <c r="A95" s="14" t="s">
        <v>34</v>
      </c>
      <c r="B95" s="9" t="s">
        <v>102</v>
      </c>
      <c r="C95" s="9" t="s">
        <v>244</v>
      </c>
      <c r="D95" s="9" t="s">
        <v>69</v>
      </c>
      <c r="E95" s="21" t="s">
        <v>245</v>
      </c>
      <c r="F95" s="25" t="n">
        <f aca="false">'Data Plans'!G95</f>
        <v>1411.28</v>
      </c>
      <c r="G95" s="23"/>
      <c r="H95" s="10" t="str">
        <f aca="false">IF(G95="","",G95-F95)</f>
        <v/>
      </c>
      <c r="I95" s="12" t="str">
        <f aca="false">IF(OR(G95="",G95=0),"",H95/G95)</f>
        <v/>
      </c>
      <c r="J95" s="24" t="str">
        <f aca="false">IF(G95="","Set price",IF(G95&lt;F95,"LOSS",IF(G95=F95,"Break-even","OK")))</f>
        <v>Set price</v>
      </c>
      <c r="K95" s="10" t="str">
        <f aca="false">IF(H95="","",H95*100)</f>
        <v/>
      </c>
      <c r="L95" s="10" t="n">
        <f aca="false">CEILING(F95*(1+Settings!$B$4),5)</f>
        <v>1485</v>
      </c>
    </row>
    <row r="96" customFormat="false" ht="15" hidden="false" customHeight="false" outlineLevel="0" collapsed="false">
      <c r="A96" s="14" t="s">
        <v>34</v>
      </c>
      <c r="B96" s="9" t="s">
        <v>102</v>
      </c>
      <c r="C96" s="9" t="s">
        <v>246</v>
      </c>
      <c r="D96" s="9" t="s">
        <v>69</v>
      </c>
      <c r="E96" s="21" t="s">
        <v>247</v>
      </c>
      <c r="F96" s="25" t="n">
        <f aca="false">'Data Plans'!G96</f>
        <v>1881.72</v>
      </c>
      <c r="G96" s="23"/>
      <c r="H96" s="10" t="str">
        <f aca="false">IF(G96="","",G96-F96)</f>
        <v/>
      </c>
      <c r="I96" s="12" t="str">
        <f aca="false">IF(OR(G96="",G96=0),"",H96/G96)</f>
        <v/>
      </c>
      <c r="J96" s="24" t="str">
        <f aca="false">IF(G96="","Set price",IF(G96&lt;F96,"LOSS",IF(G96=F96,"Break-even","OK")))</f>
        <v>Set price</v>
      </c>
      <c r="K96" s="10" t="str">
        <f aca="false">IF(H96="","",H96*100)</f>
        <v/>
      </c>
      <c r="L96" s="10" t="n">
        <f aca="false">CEILING(F96*(1+Settings!$B$4),5)</f>
        <v>1980</v>
      </c>
    </row>
    <row r="97" customFormat="false" ht="15" hidden="false" customHeight="false" outlineLevel="0" collapsed="false">
      <c r="A97" s="14" t="s">
        <v>34</v>
      </c>
      <c r="B97" s="9" t="s">
        <v>102</v>
      </c>
      <c r="C97" s="9" t="s">
        <v>248</v>
      </c>
      <c r="D97" s="9" t="s">
        <v>69</v>
      </c>
      <c r="E97" s="21" t="s">
        <v>249</v>
      </c>
      <c r="F97" s="25" t="n">
        <f aca="false">'Data Plans'!G97</f>
        <v>2352.17</v>
      </c>
      <c r="G97" s="23"/>
      <c r="H97" s="10" t="str">
        <f aca="false">IF(G97="","",G97-F97)</f>
        <v/>
      </c>
      <c r="I97" s="12" t="str">
        <f aca="false">IF(OR(G97="",G97=0),"",H97/G97)</f>
        <v/>
      </c>
      <c r="J97" s="24" t="str">
        <f aca="false">IF(G97="","Set price",IF(G97&lt;F97,"LOSS",IF(G97=F97,"Break-even","OK")))</f>
        <v>Set price</v>
      </c>
      <c r="K97" s="10" t="str">
        <f aca="false">IF(H97="","",H97*100)</f>
        <v/>
      </c>
      <c r="L97" s="10" t="n">
        <f aca="false">CEILING(F97*(1+Settings!$B$4),5)</f>
        <v>2470</v>
      </c>
    </row>
    <row r="98" customFormat="false" ht="15" hidden="false" customHeight="false" outlineLevel="0" collapsed="false">
      <c r="A98" s="14" t="s">
        <v>34</v>
      </c>
      <c r="B98" s="9" t="s">
        <v>102</v>
      </c>
      <c r="C98" s="9" t="s">
        <v>250</v>
      </c>
      <c r="D98" s="9" t="s">
        <v>69</v>
      </c>
      <c r="E98" s="21" t="s">
        <v>251</v>
      </c>
      <c r="F98" s="25" t="n">
        <f aca="false">'Data Plans'!G98</f>
        <v>2822.62</v>
      </c>
      <c r="G98" s="23"/>
      <c r="H98" s="10" t="str">
        <f aca="false">IF(G98="","",G98-F98)</f>
        <v/>
      </c>
      <c r="I98" s="12" t="str">
        <f aca="false">IF(OR(G98="",G98=0),"",H98/G98)</f>
        <v/>
      </c>
      <c r="J98" s="24" t="str">
        <f aca="false">IF(G98="","Set price",IF(G98&lt;F98,"LOSS",IF(G98=F98,"Break-even","OK")))</f>
        <v>Set price</v>
      </c>
      <c r="K98" s="10" t="str">
        <f aca="false">IF(H98="","",H98*100)</f>
        <v/>
      </c>
      <c r="L98" s="10" t="n">
        <f aca="false">CEILING(F98*(1+Settings!$B$4),5)</f>
        <v>2965</v>
      </c>
    </row>
    <row r="99" customFormat="false" ht="15" hidden="false" customHeight="false" outlineLevel="0" collapsed="false">
      <c r="A99" s="14" t="s">
        <v>34</v>
      </c>
      <c r="B99" s="9" t="s">
        <v>102</v>
      </c>
      <c r="C99" s="9" t="s">
        <v>188</v>
      </c>
      <c r="D99" s="9" t="s">
        <v>69</v>
      </c>
      <c r="E99" s="21" t="s">
        <v>252</v>
      </c>
      <c r="F99" s="25" t="n">
        <f aca="false">'Data Plans'!G99</f>
        <v>3763.52</v>
      </c>
      <c r="G99" s="23"/>
      <c r="H99" s="10" t="str">
        <f aca="false">IF(G99="","",G99-F99)</f>
        <v/>
      </c>
      <c r="I99" s="12" t="str">
        <f aca="false">IF(OR(G99="",G99=0),"",H99/G99)</f>
        <v/>
      </c>
      <c r="J99" s="24" t="str">
        <f aca="false">IF(G99="","Set price",IF(G99&lt;F99,"LOSS",IF(G99=F99,"Break-even","OK")))</f>
        <v>Set price</v>
      </c>
      <c r="K99" s="10" t="str">
        <f aca="false">IF(H99="","",H99*100)</f>
        <v/>
      </c>
      <c r="L99" s="10" t="n">
        <f aca="false">CEILING(F99*(1+Settings!$B$4),5)</f>
        <v>3955</v>
      </c>
    </row>
    <row r="100" customFormat="false" ht="15" hidden="false" customHeight="false" outlineLevel="0" collapsed="false">
      <c r="A100" s="14" t="s">
        <v>34</v>
      </c>
      <c r="B100" s="9" t="s">
        <v>102</v>
      </c>
      <c r="C100" s="9" t="s">
        <v>253</v>
      </c>
      <c r="D100" s="9" t="s">
        <v>69</v>
      </c>
      <c r="E100" s="21" t="s">
        <v>254</v>
      </c>
      <c r="F100" s="25" t="n">
        <f aca="false">'Data Plans'!G100</f>
        <v>4704.42</v>
      </c>
      <c r="G100" s="23"/>
      <c r="H100" s="10" t="str">
        <f aca="false">IF(G100="","",G100-F100)</f>
        <v/>
      </c>
      <c r="I100" s="12" t="str">
        <f aca="false">IF(OR(G100="",G100=0),"",H100/G100)</f>
        <v/>
      </c>
      <c r="J100" s="24" t="str">
        <f aca="false">IF(G100="","Set price",IF(G100&lt;F100,"LOSS",IF(G100=F100,"Break-even","OK")))</f>
        <v>Set price</v>
      </c>
      <c r="K100" s="10" t="str">
        <f aca="false">IF(H100="","",H100*100)</f>
        <v/>
      </c>
      <c r="L100" s="10" t="n">
        <f aca="false">CEILING(F100*(1+Settings!$B$4),5)</f>
        <v>4940</v>
      </c>
    </row>
    <row r="101" customFormat="false" ht="15" hidden="false" customHeight="false" outlineLevel="0" collapsed="false">
      <c r="A101" s="14" t="s">
        <v>34</v>
      </c>
      <c r="B101" s="9" t="s">
        <v>102</v>
      </c>
      <c r="C101" s="9" t="s">
        <v>255</v>
      </c>
      <c r="D101" s="9" t="s">
        <v>69</v>
      </c>
      <c r="E101" s="21" t="s">
        <v>256</v>
      </c>
      <c r="F101" s="25" t="n">
        <f aca="false">'Data Plans'!G101</f>
        <v>5645.32</v>
      </c>
      <c r="G101" s="23"/>
      <c r="H101" s="10" t="str">
        <f aca="false">IF(G101="","",G101-F101)</f>
        <v/>
      </c>
      <c r="I101" s="12" t="str">
        <f aca="false">IF(OR(G101="",G101=0),"",H101/G101)</f>
        <v/>
      </c>
      <c r="J101" s="24" t="str">
        <f aca="false">IF(G101="","Set price",IF(G101&lt;F101,"LOSS",IF(G101=F101,"Break-even","OK")))</f>
        <v>Set price</v>
      </c>
      <c r="K101" s="10" t="str">
        <f aca="false">IF(H101="","",H101*100)</f>
        <v/>
      </c>
      <c r="L101" s="10" t="n">
        <f aca="false">CEILING(F101*(1+Settings!$B$4),5)</f>
        <v>5930</v>
      </c>
    </row>
    <row r="102" customFormat="false" ht="15" hidden="false" customHeight="false" outlineLevel="0" collapsed="false">
      <c r="A102" s="14" t="s">
        <v>34</v>
      </c>
      <c r="B102" s="9" t="s">
        <v>102</v>
      </c>
      <c r="C102" s="9" t="s">
        <v>257</v>
      </c>
      <c r="D102" s="9" t="s">
        <v>69</v>
      </c>
      <c r="E102" s="21" t="s">
        <v>258</v>
      </c>
      <c r="F102" s="25" t="n">
        <f aca="false">'Data Plans'!G102</f>
        <v>7527.12</v>
      </c>
      <c r="G102" s="23"/>
      <c r="H102" s="10" t="str">
        <f aca="false">IF(G102="","",G102-F102)</f>
        <v/>
      </c>
      <c r="I102" s="12" t="str">
        <f aca="false">IF(OR(G102="",G102=0),"",H102/G102)</f>
        <v/>
      </c>
      <c r="J102" s="24" t="str">
        <f aca="false">IF(G102="","Set price",IF(G102&lt;F102,"LOSS",IF(G102=F102,"Break-even","OK")))</f>
        <v>Set price</v>
      </c>
      <c r="K102" s="10" t="str">
        <f aca="false">IF(H102="","",H102*100)</f>
        <v/>
      </c>
      <c r="L102" s="10" t="n">
        <f aca="false">CEILING(F102*(1+Settings!$B$4),5)</f>
        <v>7905</v>
      </c>
    </row>
    <row r="103" customFormat="false" ht="15" hidden="false" customHeight="false" outlineLevel="0" collapsed="false">
      <c r="A103" s="14" t="s">
        <v>34</v>
      </c>
      <c r="B103" s="9" t="s">
        <v>102</v>
      </c>
      <c r="C103" s="9" t="s">
        <v>259</v>
      </c>
      <c r="D103" s="9" t="s">
        <v>69</v>
      </c>
      <c r="E103" s="21" t="s">
        <v>260</v>
      </c>
      <c r="F103" s="25" t="n">
        <f aca="false">'Data Plans'!G103</f>
        <v>9408.92</v>
      </c>
      <c r="G103" s="23"/>
      <c r="H103" s="10" t="str">
        <f aca="false">IF(G103="","",G103-F103)</f>
        <v/>
      </c>
      <c r="I103" s="12" t="str">
        <f aca="false">IF(OR(G103="",G103=0),"",H103/G103)</f>
        <v/>
      </c>
      <c r="J103" s="24" t="str">
        <f aca="false">IF(G103="","Set price",IF(G103&lt;F103,"LOSS",IF(G103=F103,"Break-even","OK")))</f>
        <v>Set price</v>
      </c>
      <c r="K103" s="10" t="str">
        <f aca="false">IF(H103="","",H103*100)</f>
        <v/>
      </c>
      <c r="L103" s="10" t="n">
        <f aca="false">CEILING(F103*(1+Settings!$B$4),5)</f>
        <v>9880</v>
      </c>
    </row>
    <row r="104" customFormat="false" ht="15" hidden="false" customHeight="false" outlineLevel="0" collapsed="false">
      <c r="A104" s="14" t="s">
        <v>34</v>
      </c>
      <c r="B104" s="9" t="s">
        <v>102</v>
      </c>
      <c r="C104" s="9" t="s">
        <v>261</v>
      </c>
      <c r="D104" s="9" t="s">
        <v>69</v>
      </c>
      <c r="E104" s="21" t="s">
        <v>262</v>
      </c>
      <c r="F104" s="25" t="n">
        <f aca="false">'Data Plans'!G104</f>
        <v>14113.42</v>
      </c>
      <c r="G104" s="23"/>
      <c r="H104" s="10" t="str">
        <f aca="false">IF(G104="","",G104-F104)</f>
        <v/>
      </c>
      <c r="I104" s="12" t="str">
        <f aca="false">IF(OR(G104="",G104=0),"",H104/G104)</f>
        <v/>
      </c>
      <c r="J104" s="24" t="str">
        <f aca="false">IF(G104="","Set price",IF(G104&lt;F104,"LOSS",IF(G104=F104,"Break-even","OK")))</f>
        <v>Set price</v>
      </c>
      <c r="K104" s="10" t="str">
        <f aca="false">IF(H104="","",H104*100)</f>
        <v/>
      </c>
      <c r="L104" s="10" t="n">
        <f aca="false">CEILING(F104*(1+Settings!$B$4),5)</f>
        <v>14820</v>
      </c>
    </row>
    <row r="105" customFormat="false" ht="15" hidden="false" customHeight="false" outlineLevel="0" collapsed="false">
      <c r="A105" s="14" t="s">
        <v>34</v>
      </c>
      <c r="B105" s="9" t="s">
        <v>102</v>
      </c>
      <c r="C105" s="9" t="s">
        <v>263</v>
      </c>
      <c r="D105" s="9" t="s">
        <v>69</v>
      </c>
      <c r="E105" s="21" t="s">
        <v>264</v>
      </c>
      <c r="F105" s="25" t="n">
        <f aca="false">'Data Plans'!G105</f>
        <v>18817.92</v>
      </c>
      <c r="G105" s="23"/>
      <c r="H105" s="10" t="str">
        <f aca="false">IF(G105="","",G105-F105)</f>
        <v/>
      </c>
      <c r="I105" s="12" t="str">
        <f aca="false">IF(OR(G105="",G105=0),"",H105/G105)</f>
        <v/>
      </c>
      <c r="J105" s="24" t="str">
        <f aca="false">IF(G105="","Set price",IF(G105&lt;F105,"LOSS",IF(G105=F105,"Break-even","OK")))</f>
        <v>Set price</v>
      </c>
      <c r="K105" s="10" t="str">
        <f aca="false">IF(H105="","",H105*100)</f>
        <v/>
      </c>
      <c r="L105" s="10" t="n">
        <f aca="false">CEILING(F105*(1+Settings!$B$4),5)</f>
        <v>19760</v>
      </c>
    </row>
    <row r="106" customFormat="false" ht="15" hidden="false" customHeight="false" outlineLevel="0" collapsed="false">
      <c r="A106" s="14" t="s">
        <v>34</v>
      </c>
      <c r="B106" s="9" t="s">
        <v>102</v>
      </c>
      <c r="C106" s="9" t="s">
        <v>265</v>
      </c>
      <c r="D106" s="9" t="s">
        <v>69</v>
      </c>
      <c r="E106" s="21" t="s">
        <v>266</v>
      </c>
      <c r="F106" s="25" t="n">
        <f aca="false">'Data Plans'!G106</f>
        <v>28226.92</v>
      </c>
      <c r="G106" s="23"/>
      <c r="H106" s="10" t="str">
        <f aca="false">IF(G106="","",G106-F106)</f>
        <v/>
      </c>
      <c r="I106" s="12" t="str">
        <f aca="false">IF(OR(G106="",G106=0),"",H106/G106)</f>
        <v/>
      </c>
      <c r="J106" s="24" t="str">
        <f aca="false">IF(G106="","Set price",IF(G106&lt;F106,"LOSS",IF(G106=F106,"Break-even","OK")))</f>
        <v>Set price</v>
      </c>
      <c r="K106" s="10" t="str">
        <f aca="false">IF(H106="","",H106*100)</f>
        <v/>
      </c>
      <c r="L106" s="10" t="n">
        <f aca="false">CEILING(F106*(1+Settings!$B$4),5)</f>
        <v>29640</v>
      </c>
    </row>
    <row r="107" customFormat="false" ht="15" hidden="false" customHeight="false" outlineLevel="0" collapsed="false">
      <c r="A107" s="14" t="s">
        <v>34</v>
      </c>
      <c r="B107" s="9" t="s">
        <v>102</v>
      </c>
      <c r="C107" s="9" t="s">
        <v>267</v>
      </c>
      <c r="D107" s="9" t="s">
        <v>69</v>
      </c>
      <c r="E107" s="21" t="s">
        <v>268</v>
      </c>
      <c r="F107" s="25" t="n">
        <f aca="false">'Data Plans'!G107</f>
        <v>37635.92</v>
      </c>
      <c r="G107" s="23"/>
      <c r="H107" s="10" t="str">
        <f aca="false">IF(G107="","",G107-F107)</f>
        <v/>
      </c>
      <c r="I107" s="12" t="str">
        <f aca="false">IF(OR(G107="",G107=0),"",H107/G107)</f>
        <v/>
      </c>
      <c r="J107" s="24" t="str">
        <f aca="false">IF(G107="","Set price",IF(G107&lt;F107,"LOSS",IF(G107=F107,"Break-even","OK")))</f>
        <v>Set price</v>
      </c>
      <c r="K107" s="10" t="str">
        <f aca="false">IF(H107="","",H107*100)</f>
        <v/>
      </c>
      <c r="L107" s="10" t="n">
        <f aca="false">CEILING(F107*(1+Settings!$B$4),5)</f>
        <v>39520</v>
      </c>
    </row>
    <row r="108" customFormat="false" ht="15" hidden="false" customHeight="false" outlineLevel="0" collapsed="false">
      <c r="A108" s="14" t="s">
        <v>34</v>
      </c>
      <c r="B108" s="9" t="s">
        <v>102</v>
      </c>
      <c r="C108" s="9" t="s">
        <v>269</v>
      </c>
      <c r="D108" s="9" t="s">
        <v>145</v>
      </c>
      <c r="E108" s="21" t="s">
        <v>270</v>
      </c>
      <c r="F108" s="25" t="n">
        <f aca="false">'Data Plans'!G108</f>
        <v>47044.92</v>
      </c>
      <c r="G108" s="23"/>
      <c r="H108" s="10" t="str">
        <f aca="false">IF(G108="","",G108-F108)</f>
        <v/>
      </c>
      <c r="I108" s="12" t="str">
        <f aca="false">IF(OR(G108="",G108=0),"",H108/G108)</f>
        <v/>
      </c>
      <c r="J108" s="24" t="str">
        <f aca="false">IF(G108="","Set price",IF(G108&lt;F108,"LOSS",IF(G108=F108,"Break-even","OK")))</f>
        <v>Set price</v>
      </c>
      <c r="K108" s="10" t="str">
        <f aca="false">IF(H108="","",H108*100)</f>
        <v/>
      </c>
      <c r="L108" s="10" t="n">
        <f aca="false">CEILING(F108*(1+Settings!$B$4),5)</f>
        <v>49400</v>
      </c>
    </row>
    <row r="109" customFormat="false" ht="15" hidden="false" customHeight="false" outlineLevel="0" collapsed="false">
      <c r="A109" s="14" t="s">
        <v>34</v>
      </c>
      <c r="B109" s="9" t="s">
        <v>102</v>
      </c>
      <c r="C109" s="9" t="s">
        <v>271</v>
      </c>
      <c r="D109" s="9" t="s">
        <v>145</v>
      </c>
      <c r="E109" s="21" t="s">
        <v>272</v>
      </c>
      <c r="F109" s="25" t="n">
        <f aca="false">'Data Plans'!G109</f>
        <v>56453.92</v>
      </c>
      <c r="G109" s="23"/>
      <c r="H109" s="10" t="str">
        <f aca="false">IF(G109="","",G109-F109)</f>
        <v/>
      </c>
      <c r="I109" s="12" t="str">
        <f aca="false">IF(OR(G109="",G109=0),"",H109/G109)</f>
        <v/>
      </c>
      <c r="J109" s="24" t="str">
        <f aca="false">IF(G109="","Set price",IF(G109&lt;F109,"LOSS",IF(G109=F109,"Break-even","OK")))</f>
        <v>Set price</v>
      </c>
      <c r="K109" s="10" t="str">
        <f aca="false">IF(H109="","",H109*100)</f>
        <v/>
      </c>
      <c r="L109" s="10" t="n">
        <f aca="false">CEILING(F109*(1+Settings!$B$4),5)</f>
        <v>59280</v>
      </c>
    </row>
    <row r="110" customFormat="false" ht="15" hidden="false" customHeight="false" outlineLevel="0" collapsed="false">
      <c r="A110" s="15" t="s">
        <v>35</v>
      </c>
      <c r="B110" s="9" t="s">
        <v>64</v>
      </c>
      <c r="C110" s="9" t="s">
        <v>273</v>
      </c>
      <c r="D110" s="9" t="s">
        <v>69</v>
      </c>
      <c r="E110" s="21" t="s">
        <v>274</v>
      </c>
      <c r="F110" s="25" t="n">
        <f aca="false">'Data Plans'!G110</f>
        <v>25</v>
      </c>
      <c r="G110" s="23"/>
      <c r="H110" s="10" t="str">
        <f aca="false">IF(G110="","",G110-F110)</f>
        <v/>
      </c>
      <c r="I110" s="12" t="str">
        <f aca="false">IF(OR(G110="",G110=0),"",H110/G110)</f>
        <v/>
      </c>
      <c r="J110" s="24" t="str">
        <f aca="false">IF(G110="","Set price",IF(G110&lt;F110,"LOSS",IF(G110=F110,"Break-even","OK")))</f>
        <v>Set price</v>
      </c>
      <c r="K110" s="10" t="str">
        <f aca="false">IF(H110="","",H110*100)</f>
        <v/>
      </c>
      <c r="L110" s="10" t="n">
        <f aca="false">CEILING(F110*(1+Settings!$B$4),5)</f>
        <v>30</v>
      </c>
    </row>
    <row r="111" customFormat="false" ht="15" hidden="false" customHeight="false" outlineLevel="0" collapsed="false">
      <c r="A111" s="15" t="s">
        <v>35</v>
      </c>
      <c r="B111" s="9" t="s">
        <v>64</v>
      </c>
      <c r="C111" s="9" t="s">
        <v>275</v>
      </c>
      <c r="D111" s="9" t="s">
        <v>69</v>
      </c>
      <c r="E111" s="21" t="s">
        <v>276</v>
      </c>
      <c r="F111" s="25" t="n">
        <f aca="false">'Data Plans'!G111</f>
        <v>51</v>
      </c>
      <c r="G111" s="23"/>
      <c r="H111" s="10" t="str">
        <f aca="false">IF(G111="","",G111-F111)</f>
        <v/>
      </c>
      <c r="I111" s="12" t="str">
        <f aca="false">IF(OR(G111="",G111=0),"",H111/G111)</f>
        <v/>
      </c>
      <c r="J111" s="24" t="str">
        <f aca="false">IF(G111="","Set price",IF(G111&lt;F111,"LOSS",IF(G111=F111,"Break-even","OK")))</f>
        <v>Set price</v>
      </c>
      <c r="K111" s="10" t="str">
        <f aca="false">IF(H111="","",H111*100)</f>
        <v/>
      </c>
      <c r="L111" s="10" t="n">
        <f aca="false">CEILING(F111*(1+Settings!$B$4),5)</f>
        <v>55</v>
      </c>
    </row>
    <row r="112" customFormat="false" ht="15" hidden="false" customHeight="false" outlineLevel="0" collapsed="false">
      <c r="A112" s="15" t="s">
        <v>35</v>
      </c>
      <c r="B112" s="9" t="s">
        <v>64</v>
      </c>
      <c r="C112" s="9" t="s">
        <v>277</v>
      </c>
      <c r="D112" s="9" t="s">
        <v>69</v>
      </c>
      <c r="E112" s="21" t="s">
        <v>278</v>
      </c>
      <c r="F112" s="25" t="n">
        <f aca="false">'Data Plans'!G112</f>
        <v>153</v>
      </c>
      <c r="G112" s="23"/>
      <c r="H112" s="10" t="str">
        <f aca="false">IF(G112="","",G112-F112)</f>
        <v/>
      </c>
      <c r="I112" s="12" t="str">
        <f aca="false">IF(OR(G112="",G112=0),"",H112/G112)</f>
        <v/>
      </c>
      <c r="J112" s="24" t="str">
        <f aca="false">IF(G112="","Set price",IF(G112&lt;F112,"LOSS",IF(G112=F112,"Break-even","OK")))</f>
        <v>Set price</v>
      </c>
      <c r="K112" s="10" t="str">
        <f aca="false">IF(H112="","",H112*100)</f>
        <v/>
      </c>
      <c r="L112" s="10" t="n">
        <f aca="false">CEILING(F112*(1+Settings!$B$4),5)</f>
        <v>165</v>
      </c>
    </row>
    <row r="113" customFormat="false" ht="15" hidden="false" customHeight="false" outlineLevel="0" collapsed="false">
      <c r="A113" s="15" t="s">
        <v>35</v>
      </c>
      <c r="B113" s="9" t="s">
        <v>64</v>
      </c>
      <c r="C113" s="9" t="s">
        <v>279</v>
      </c>
      <c r="D113" s="9" t="s">
        <v>69</v>
      </c>
      <c r="E113" s="21" t="s">
        <v>67</v>
      </c>
      <c r="F113" s="25" t="n">
        <f aca="false">'Data Plans'!G113</f>
        <v>246</v>
      </c>
      <c r="G113" s="23"/>
      <c r="H113" s="10" t="str">
        <f aca="false">IF(G113="","",G113-F113)</f>
        <v/>
      </c>
      <c r="I113" s="12" t="str">
        <f aca="false">IF(OR(G113="",G113=0),"",H113/G113)</f>
        <v/>
      </c>
      <c r="J113" s="24" t="str">
        <f aca="false">IF(G113="","Set price",IF(G113&lt;F113,"LOSS",IF(G113=F113,"Break-even","OK")))</f>
        <v>Set price</v>
      </c>
      <c r="K113" s="10" t="str">
        <f aca="false">IF(H113="","",H113*100)</f>
        <v/>
      </c>
      <c r="L113" s="10" t="n">
        <f aca="false">CEILING(F113*(1+Settings!$B$4),5)</f>
        <v>260</v>
      </c>
    </row>
    <row r="114" customFormat="false" ht="15" hidden="false" customHeight="false" outlineLevel="0" collapsed="false">
      <c r="A114" s="15" t="s">
        <v>35</v>
      </c>
      <c r="B114" s="9" t="s">
        <v>64</v>
      </c>
      <c r="C114" s="9" t="s">
        <v>173</v>
      </c>
      <c r="D114" s="9" t="s">
        <v>69</v>
      </c>
      <c r="E114" s="21" t="s">
        <v>72</v>
      </c>
      <c r="F114" s="25" t="n">
        <f aca="false">'Data Plans'!G114</f>
        <v>492</v>
      </c>
      <c r="G114" s="23"/>
      <c r="H114" s="10" t="str">
        <f aca="false">IF(G114="","",G114-F114)</f>
        <v/>
      </c>
      <c r="I114" s="12" t="str">
        <f aca="false">IF(OR(G114="",G114=0),"",H114/G114)</f>
        <v/>
      </c>
      <c r="J114" s="24" t="str">
        <f aca="false">IF(G114="","Set price",IF(G114&lt;F114,"LOSS",IF(G114=F114,"Break-even","OK")))</f>
        <v>Set price</v>
      </c>
      <c r="K114" s="10" t="str">
        <f aca="false">IF(H114="","",H114*100)</f>
        <v/>
      </c>
      <c r="L114" s="10" t="n">
        <f aca="false">CEILING(F114*(1+Settings!$B$4),5)</f>
        <v>520</v>
      </c>
    </row>
    <row r="115" customFormat="false" ht="15" hidden="false" customHeight="false" outlineLevel="0" collapsed="false">
      <c r="A115" s="15" t="s">
        <v>35</v>
      </c>
      <c r="B115" s="9" t="s">
        <v>64</v>
      </c>
      <c r="C115" s="9" t="s">
        <v>174</v>
      </c>
      <c r="D115" s="9" t="s">
        <v>69</v>
      </c>
      <c r="E115" s="21" t="s">
        <v>76</v>
      </c>
      <c r="F115" s="25" t="n">
        <f aca="false">'Data Plans'!G115</f>
        <v>984</v>
      </c>
      <c r="G115" s="23"/>
      <c r="H115" s="10" t="str">
        <f aca="false">IF(G115="","",G115-F115)</f>
        <v/>
      </c>
      <c r="I115" s="12" t="str">
        <f aca="false">IF(OR(G115="",G115=0),"",H115/G115)</f>
        <v/>
      </c>
      <c r="J115" s="24" t="str">
        <f aca="false">IF(G115="","Set price",IF(G115&lt;F115,"LOSS",IF(G115=F115,"Break-even","OK")))</f>
        <v>Set price</v>
      </c>
      <c r="K115" s="10" t="str">
        <f aca="false">IF(H115="","",H115*100)</f>
        <v/>
      </c>
      <c r="L115" s="10" t="n">
        <f aca="false">CEILING(F115*(1+Settings!$B$4),5)</f>
        <v>1035</v>
      </c>
    </row>
    <row r="116" customFormat="false" ht="15" hidden="false" customHeight="false" outlineLevel="0" collapsed="false">
      <c r="A116" s="15" t="s">
        <v>35</v>
      </c>
      <c r="B116" s="9" t="s">
        <v>64</v>
      </c>
      <c r="C116" s="9" t="s">
        <v>175</v>
      </c>
      <c r="D116" s="9" t="s">
        <v>69</v>
      </c>
      <c r="E116" s="21" t="s">
        <v>80</v>
      </c>
      <c r="F116" s="25" t="n">
        <f aca="false">'Data Plans'!G116</f>
        <v>1476</v>
      </c>
      <c r="G116" s="23"/>
      <c r="H116" s="10" t="str">
        <f aca="false">IF(G116="","",G116-F116)</f>
        <v/>
      </c>
      <c r="I116" s="12" t="str">
        <f aca="false">IF(OR(G116="",G116=0),"",H116/G116)</f>
        <v/>
      </c>
      <c r="J116" s="24" t="str">
        <f aca="false">IF(G116="","Set price",IF(G116&lt;F116,"LOSS",IF(G116=F116,"Break-even","OK")))</f>
        <v>Set price</v>
      </c>
      <c r="K116" s="10" t="str">
        <f aca="false">IF(H116="","",H116*100)</f>
        <v/>
      </c>
      <c r="L116" s="10" t="n">
        <f aca="false">CEILING(F116*(1+Settings!$B$4),5)</f>
        <v>1550</v>
      </c>
    </row>
    <row r="117" customFormat="false" ht="15" hidden="false" customHeight="false" outlineLevel="0" collapsed="false">
      <c r="A117" s="15" t="s">
        <v>35</v>
      </c>
      <c r="B117" s="9" t="s">
        <v>64</v>
      </c>
      <c r="C117" s="9" t="s">
        <v>280</v>
      </c>
      <c r="D117" s="9" t="s">
        <v>69</v>
      </c>
      <c r="E117" s="21" t="s">
        <v>281</v>
      </c>
      <c r="F117" s="25" t="n">
        <f aca="false">'Data Plans'!G117</f>
        <v>1968</v>
      </c>
      <c r="G117" s="23"/>
      <c r="H117" s="10" t="str">
        <f aca="false">IF(G117="","",G117-F117)</f>
        <v/>
      </c>
      <c r="I117" s="12" t="str">
        <f aca="false">IF(OR(G117="",G117=0),"",H117/G117)</f>
        <v/>
      </c>
      <c r="J117" s="24" t="str">
        <f aca="false">IF(G117="","Set price",IF(G117&lt;F117,"LOSS",IF(G117=F117,"Break-even","OK")))</f>
        <v>Set price</v>
      </c>
      <c r="K117" s="10" t="str">
        <f aca="false">IF(H117="","",H117*100)</f>
        <v/>
      </c>
      <c r="L117" s="10" t="n">
        <f aca="false">CEILING(F117*(1+Settings!$B$4),5)</f>
        <v>2070</v>
      </c>
    </row>
    <row r="118" customFormat="false" ht="15" hidden="false" customHeight="false" outlineLevel="0" collapsed="false">
      <c r="A118" s="15" t="s">
        <v>35</v>
      </c>
      <c r="B118" s="9" t="s">
        <v>64</v>
      </c>
      <c r="C118" s="9" t="s">
        <v>176</v>
      </c>
      <c r="D118" s="9" t="s">
        <v>69</v>
      </c>
      <c r="E118" s="21" t="s">
        <v>177</v>
      </c>
      <c r="F118" s="25" t="n">
        <f aca="false">'Data Plans'!G118</f>
        <v>2460</v>
      </c>
      <c r="G118" s="23"/>
      <c r="H118" s="10" t="str">
        <f aca="false">IF(G118="","",G118-F118)</f>
        <v/>
      </c>
      <c r="I118" s="12" t="str">
        <f aca="false">IF(OR(G118="",G118=0),"",H118/G118)</f>
        <v/>
      </c>
      <c r="J118" s="24" t="str">
        <f aca="false">IF(G118="","Set price",IF(G118&lt;F118,"LOSS",IF(G118=F118,"Break-even","OK")))</f>
        <v>Set price</v>
      </c>
      <c r="K118" s="10" t="str">
        <f aca="false">IF(H118="","",H118*100)</f>
        <v/>
      </c>
      <c r="L118" s="10" t="n">
        <f aca="false">CEILING(F118*(1+Settings!$B$4),5)</f>
        <v>2585</v>
      </c>
    </row>
    <row r="119" customFormat="false" ht="15" hidden="false" customHeight="false" outlineLevel="0" collapsed="false">
      <c r="A119" s="15" t="s">
        <v>35</v>
      </c>
      <c r="B119" s="9" t="s">
        <v>64</v>
      </c>
      <c r="C119" s="9" t="s">
        <v>178</v>
      </c>
      <c r="D119" s="9" t="s">
        <v>69</v>
      </c>
      <c r="E119" s="21" t="s">
        <v>179</v>
      </c>
      <c r="F119" s="25" t="n">
        <f aca="false">'Data Plans'!G119</f>
        <v>4920</v>
      </c>
      <c r="G119" s="23"/>
      <c r="H119" s="10" t="str">
        <f aca="false">IF(G119="","",G119-F119)</f>
        <v/>
      </c>
      <c r="I119" s="12" t="str">
        <f aca="false">IF(OR(G119="",G119=0),"",H119/G119)</f>
        <v/>
      </c>
      <c r="J119" s="24" t="str">
        <f aca="false">IF(G119="","Set price",IF(G119&lt;F119,"LOSS",IF(G119=F119,"Break-even","OK")))</f>
        <v>Set price</v>
      </c>
      <c r="K119" s="10" t="str">
        <f aca="false">IF(H119="","",H119*100)</f>
        <v/>
      </c>
      <c r="L119" s="10" t="n">
        <f aca="false">CEILING(F119*(1+Settings!$B$4),5)</f>
        <v>5170</v>
      </c>
    </row>
    <row r="120" customFormat="false" ht="15" hidden="false" customHeight="false" outlineLevel="0" collapsed="false">
      <c r="A120" s="15" t="s">
        <v>35</v>
      </c>
      <c r="B120" s="9" t="s">
        <v>64</v>
      </c>
      <c r="C120" s="9" t="s">
        <v>282</v>
      </c>
      <c r="D120" s="9" t="s">
        <v>69</v>
      </c>
      <c r="E120" s="21" t="s">
        <v>283</v>
      </c>
      <c r="F120" s="25" t="n">
        <f aca="false">'Data Plans'!G120</f>
        <v>7380</v>
      </c>
      <c r="G120" s="23"/>
      <c r="H120" s="10" t="str">
        <f aca="false">IF(G120="","",G120-F120)</f>
        <v/>
      </c>
      <c r="I120" s="12" t="str">
        <f aca="false">IF(OR(G120="",G120=0),"",H120/G120)</f>
        <v/>
      </c>
      <c r="J120" s="24" t="str">
        <f aca="false">IF(G120="","Set price",IF(G120&lt;F120,"LOSS",IF(G120=F120,"Break-even","OK")))</f>
        <v>Set price</v>
      </c>
      <c r="K120" s="10" t="str">
        <f aca="false">IF(H120="","",H120*100)</f>
        <v/>
      </c>
      <c r="L120" s="10" t="n">
        <f aca="false">CEILING(F120*(1+Settings!$B$4),5)</f>
        <v>7750</v>
      </c>
    </row>
    <row r="121" customFormat="false" ht="15" hidden="false" customHeight="false" outlineLevel="0" collapsed="false">
      <c r="A121" s="15" t="s">
        <v>35</v>
      </c>
      <c r="B121" s="9" t="s">
        <v>64</v>
      </c>
      <c r="C121" s="9" t="s">
        <v>284</v>
      </c>
      <c r="D121" s="9" t="s">
        <v>69</v>
      </c>
      <c r="E121" s="21" t="s">
        <v>285</v>
      </c>
      <c r="F121" s="25" t="n">
        <f aca="false">'Data Plans'!G121</f>
        <v>9840</v>
      </c>
      <c r="G121" s="23"/>
      <c r="H121" s="10" t="str">
        <f aca="false">IF(G121="","",G121-F121)</f>
        <v/>
      </c>
      <c r="I121" s="12" t="str">
        <f aca="false">IF(OR(G121="",G121=0),"",H121/G121)</f>
        <v/>
      </c>
      <c r="J121" s="24" t="str">
        <f aca="false">IF(G121="","Set price",IF(G121&lt;F121,"LOSS",IF(G121=F121,"Break-even","OK")))</f>
        <v>Set price</v>
      </c>
      <c r="K121" s="10" t="str">
        <f aca="false">IF(H121="","",H121*100)</f>
        <v/>
      </c>
      <c r="L121" s="10" t="n">
        <f aca="false">CEILING(F121*(1+Settings!$B$4),5)</f>
        <v>10335</v>
      </c>
    </row>
    <row r="122" customFormat="false" ht="15" hidden="false" customHeight="false" outlineLevel="0" collapsed="false">
      <c r="A122" s="15" t="s">
        <v>35</v>
      </c>
      <c r="B122" s="9" t="s">
        <v>64</v>
      </c>
      <c r="C122" s="9" t="s">
        <v>286</v>
      </c>
      <c r="D122" s="9" t="s">
        <v>69</v>
      </c>
      <c r="E122" s="21" t="s">
        <v>287</v>
      </c>
      <c r="F122" s="25" t="n">
        <f aca="false">'Data Plans'!G122</f>
        <v>12300</v>
      </c>
      <c r="G122" s="23"/>
      <c r="H122" s="10" t="str">
        <f aca="false">IF(G122="","",G122-F122)</f>
        <v/>
      </c>
      <c r="I122" s="12" t="str">
        <f aca="false">IF(OR(G122="",G122=0),"",H122/G122)</f>
        <v/>
      </c>
      <c r="J122" s="24" t="str">
        <f aca="false">IF(G122="","Set price",IF(G122&lt;F122,"LOSS",IF(G122=F122,"Break-even","OK")))</f>
        <v>Set price</v>
      </c>
      <c r="K122" s="10" t="str">
        <f aca="false">IF(H122="","",H122*100)</f>
        <v/>
      </c>
      <c r="L122" s="10" t="n">
        <f aca="false">CEILING(F122*(1+Settings!$B$4),5)</f>
        <v>12915</v>
      </c>
    </row>
    <row r="123" customFormat="false" ht="15" hidden="false" customHeight="false" outlineLevel="0" collapsed="false">
      <c r="A123" s="15" t="s">
        <v>35</v>
      </c>
      <c r="B123" s="9" t="s">
        <v>85</v>
      </c>
      <c r="C123" s="9" t="s">
        <v>288</v>
      </c>
      <c r="D123" s="9" t="s">
        <v>87</v>
      </c>
      <c r="E123" s="21" t="s">
        <v>88</v>
      </c>
      <c r="F123" s="25" t="n">
        <f aca="false">'Data Plans'!G123</f>
        <v>86.49</v>
      </c>
      <c r="G123" s="23"/>
      <c r="H123" s="10" t="str">
        <f aca="false">IF(G123="","",G123-F123)</f>
        <v/>
      </c>
      <c r="I123" s="12" t="str">
        <f aca="false">IF(OR(G123="",G123=0),"",H123/G123)</f>
        <v/>
      </c>
      <c r="J123" s="24" t="str">
        <f aca="false">IF(G123="","Set price",IF(G123&lt;F123,"LOSS",IF(G123=F123,"Break-even","OK")))</f>
        <v>Set price</v>
      </c>
      <c r="K123" s="10" t="str">
        <f aca="false">IF(H123="","",H123*100)</f>
        <v/>
      </c>
      <c r="L123" s="10" t="n">
        <f aca="false">CEILING(F123*(1+Settings!$B$4),5)</f>
        <v>95</v>
      </c>
    </row>
    <row r="124" customFormat="false" ht="15" hidden="false" customHeight="false" outlineLevel="0" collapsed="false">
      <c r="A124" s="15" t="s">
        <v>35</v>
      </c>
      <c r="B124" s="9" t="s">
        <v>85</v>
      </c>
      <c r="C124" s="9" t="s">
        <v>289</v>
      </c>
      <c r="D124" s="9" t="s">
        <v>87</v>
      </c>
      <c r="E124" s="21" t="s">
        <v>290</v>
      </c>
      <c r="F124" s="25" t="n">
        <f aca="false">'Data Plans'!G124</f>
        <v>129.74</v>
      </c>
      <c r="G124" s="23"/>
      <c r="H124" s="10" t="str">
        <f aca="false">IF(G124="","",G124-F124)</f>
        <v/>
      </c>
      <c r="I124" s="12" t="str">
        <f aca="false">IF(OR(G124="",G124=0),"",H124/G124)</f>
        <v/>
      </c>
      <c r="J124" s="24" t="str">
        <f aca="false">IF(G124="","Set price",IF(G124&lt;F124,"LOSS",IF(G124=F124,"Break-even","OK")))</f>
        <v>Set price</v>
      </c>
      <c r="K124" s="10" t="str">
        <f aca="false">IF(H124="","",H124*100)</f>
        <v/>
      </c>
      <c r="L124" s="10" t="n">
        <f aca="false">CEILING(F124*(1+Settings!$B$4),5)</f>
        <v>140</v>
      </c>
    </row>
    <row r="125" customFormat="false" ht="15" hidden="false" customHeight="false" outlineLevel="0" collapsed="false">
      <c r="A125" s="15" t="s">
        <v>35</v>
      </c>
      <c r="B125" s="9" t="s">
        <v>85</v>
      </c>
      <c r="C125" s="9" t="s">
        <v>291</v>
      </c>
      <c r="D125" s="9" t="s">
        <v>87</v>
      </c>
      <c r="E125" s="21" t="s">
        <v>90</v>
      </c>
      <c r="F125" s="25" t="n">
        <f aca="false">'Data Plans'!G125</f>
        <v>172.98</v>
      </c>
      <c r="G125" s="23"/>
      <c r="H125" s="10" t="str">
        <f aca="false">IF(G125="","",G125-F125)</f>
        <v/>
      </c>
      <c r="I125" s="12" t="str">
        <f aca="false">IF(OR(G125="",G125=0),"",H125/G125)</f>
        <v/>
      </c>
      <c r="J125" s="24" t="str">
        <f aca="false">IF(G125="","Set price",IF(G125&lt;F125,"LOSS",IF(G125=F125,"Break-even","OK")))</f>
        <v>Set price</v>
      </c>
      <c r="K125" s="10" t="str">
        <f aca="false">IF(H125="","",H125*100)</f>
        <v/>
      </c>
      <c r="L125" s="10" t="n">
        <f aca="false">CEILING(F125*(1+Settings!$B$4),5)</f>
        <v>185</v>
      </c>
    </row>
    <row r="126" customFormat="false" ht="15" hidden="false" customHeight="false" outlineLevel="0" collapsed="false">
      <c r="A126" s="15" t="s">
        <v>35</v>
      </c>
      <c r="B126" s="9" t="s">
        <v>85</v>
      </c>
      <c r="C126" s="9" t="s">
        <v>292</v>
      </c>
      <c r="D126" s="9" t="s">
        <v>87</v>
      </c>
      <c r="E126" s="21" t="s">
        <v>92</v>
      </c>
      <c r="F126" s="25" t="n">
        <f aca="false">'Data Plans'!G126</f>
        <v>302.72</v>
      </c>
      <c r="G126" s="23"/>
      <c r="H126" s="10" t="str">
        <f aca="false">IF(G126="","",G126-F126)</f>
        <v/>
      </c>
      <c r="I126" s="12" t="str">
        <f aca="false">IF(OR(G126="",G126=0),"",H126/G126)</f>
        <v/>
      </c>
      <c r="J126" s="24" t="str">
        <f aca="false">IF(G126="","Set price",IF(G126&lt;F126,"LOSS",IF(G126=F126,"Break-even","OK")))</f>
        <v>Set price</v>
      </c>
      <c r="K126" s="10" t="str">
        <f aca="false">IF(H126="","",H126*100)</f>
        <v/>
      </c>
      <c r="L126" s="10" t="n">
        <f aca="false">CEILING(F126*(1+Settings!$B$4),5)</f>
        <v>320</v>
      </c>
    </row>
    <row r="127" customFormat="false" ht="15" hidden="false" customHeight="false" outlineLevel="0" collapsed="false">
      <c r="A127" s="15" t="s">
        <v>35</v>
      </c>
      <c r="B127" s="9" t="s">
        <v>85</v>
      </c>
      <c r="C127" s="9" t="s">
        <v>293</v>
      </c>
      <c r="D127" s="9" t="s">
        <v>152</v>
      </c>
      <c r="E127" s="21" t="s">
        <v>94</v>
      </c>
      <c r="F127" s="25" t="n">
        <f aca="false">'Data Plans'!G127</f>
        <v>432.45</v>
      </c>
      <c r="G127" s="23"/>
      <c r="H127" s="10" t="str">
        <f aca="false">IF(G127="","",G127-F127)</f>
        <v/>
      </c>
      <c r="I127" s="12" t="str">
        <f aca="false">IF(OR(G127="",G127=0),"",H127/G127)</f>
        <v/>
      </c>
      <c r="J127" s="24" t="str">
        <f aca="false">IF(G127="","Set price",IF(G127&lt;F127,"LOSS",IF(G127=F127,"Break-even","OK")))</f>
        <v>Set price</v>
      </c>
      <c r="K127" s="10" t="str">
        <f aca="false">IF(H127="","",H127*100)</f>
        <v/>
      </c>
      <c r="L127" s="10" t="n">
        <f aca="false">CEILING(F127*(1+Settings!$B$4),5)</f>
        <v>455</v>
      </c>
    </row>
    <row r="128" customFormat="false" ht="15" hidden="false" customHeight="false" outlineLevel="0" collapsed="false">
      <c r="A128" s="15" t="s">
        <v>35</v>
      </c>
      <c r="B128" s="9" t="s">
        <v>102</v>
      </c>
      <c r="C128" s="9" t="s">
        <v>294</v>
      </c>
      <c r="D128" s="9" t="s">
        <v>66</v>
      </c>
      <c r="E128" s="21" t="s">
        <v>185</v>
      </c>
      <c r="F128" s="25" t="n">
        <f aca="false">'Data Plans'!G128</f>
        <v>1297.35</v>
      </c>
      <c r="G128" s="23"/>
      <c r="H128" s="10" t="str">
        <f aca="false">IF(G128="","",G128-F128)</f>
        <v/>
      </c>
      <c r="I128" s="12" t="str">
        <f aca="false">IF(OR(G128="",G128=0),"",H128/G128)</f>
        <v/>
      </c>
      <c r="J128" s="24" t="str">
        <f aca="false">IF(G128="","Set price",IF(G128&lt;F128,"LOSS",IF(G128=F128,"Break-even","OK")))</f>
        <v>Set price</v>
      </c>
      <c r="K128" s="10" t="str">
        <f aca="false">IF(H128="","",H128*100)</f>
        <v/>
      </c>
      <c r="L128" s="10" t="n">
        <f aca="false">CEILING(F128*(1+Settings!$B$4),5)</f>
        <v>1365</v>
      </c>
    </row>
    <row r="129" customFormat="false" ht="15" hidden="false" customHeight="false" outlineLevel="0" collapsed="false">
      <c r="A129" s="15" t="s">
        <v>35</v>
      </c>
      <c r="B129" s="9" t="s">
        <v>102</v>
      </c>
      <c r="C129" s="9" t="s">
        <v>295</v>
      </c>
      <c r="D129" s="9" t="s">
        <v>148</v>
      </c>
      <c r="E129" s="21" t="s">
        <v>296</v>
      </c>
      <c r="F129" s="25" t="n">
        <f aca="false">'Data Plans'!G129</f>
        <v>518.94</v>
      </c>
      <c r="G129" s="23"/>
      <c r="H129" s="10" t="str">
        <f aca="false">IF(G129="","",G129-F129)</f>
        <v/>
      </c>
      <c r="I129" s="12" t="str">
        <f aca="false">IF(OR(G129="",G129=0),"",H129/G129)</f>
        <v/>
      </c>
      <c r="J129" s="24" t="str">
        <f aca="false">IF(G129="","Set price",IF(G129&lt;F129,"LOSS",IF(G129=F129,"Break-even","OK")))</f>
        <v>Set price</v>
      </c>
      <c r="K129" s="10" t="str">
        <f aca="false">IF(H129="","",H129*100)</f>
        <v/>
      </c>
      <c r="L129" s="10" t="n">
        <f aca="false">CEILING(F129*(1+Settings!$B$4),5)</f>
        <v>545</v>
      </c>
    </row>
    <row r="130" customFormat="false" ht="15" hidden="false" customHeight="false" outlineLevel="0" collapsed="false">
      <c r="A130" s="15" t="s">
        <v>35</v>
      </c>
      <c r="B130" s="9" t="s">
        <v>102</v>
      </c>
      <c r="C130" s="9" t="s">
        <v>297</v>
      </c>
      <c r="D130" s="9" t="s">
        <v>69</v>
      </c>
      <c r="E130" s="21" t="s">
        <v>101</v>
      </c>
      <c r="F130" s="25" t="n">
        <f aca="false">'Data Plans'!G130</f>
        <v>864.9</v>
      </c>
      <c r="G130" s="23"/>
      <c r="H130" s="10" t="str">
        <f aca="false">IF(G130="","",G130-F130)</f>
        <v/>
      </c>
      <c r="I130" s="12" t="str">
        <f aca="false">IF(OR(G130="",G130=0),"",H130/G130)</f>
        <v/>
      </c>
      <c r="J130" s="24" t="str">
        <f aca="false">IF(G130="","Set price",IF(G130&lt;F130,"LOSS",IF(G130=F130,"Break-even","OK")))</f>
        <v>Set price</v>
      </c>
      <c r="K130" s="10" t="str">
        <f aca="false">IF(H130="","",H130*100)</f>
        <v/>
      </c>
      <c r="L130" s="10" t="n">
        <f aca="false">CEILING(F130*(1+Settings!$B$4),5)</f>
        <v>910</v>
      </c>
    </row>
    <row r="131" customFormat="false" ht="15" hidden="false" customHeight="false" outlineLevel="0" collapsed="false">
      <c r="A131" s="15" t="s">
        <v>35</v>
      </c>
      <c r="B131" s="9" t="s">
        <v>102</v>
      </c>
      <c r="C131" s="9" t="s">
        <v>298</v>
      </c>
      <c r="D131" s="9" t="s">
        <v>69</v>
      </c>
      <c r="E131" s="21" t="s">
        <v>299</v>
      </c>
      <c r="F131" s="25" t="n">
        <f aca="false">'Data Plans'!G131</f>
        <v>1037.88</v>
      </c>
      <c r="G131" s="23"/>
      <c r="H131" s="10" t="str">
        <f aca="false">IF(G131="","",G131-F131)</f>
        <v/>
      </c>
      <c r="I131" s="12" t="str">
        <f aca="false">IF(OR(G131="",G131=0),"",H131/G131)</f>
        <v/>
      </c>
      <c r="J131" s="24" t="str">
        <f aca="false">IF(G131="","Set price",IF(G131&lt;F131,"LOSS",IF(G131=F131,"Break-even","OK")))</f>
        <v>Set price</v>
      </c>
      <c r="K131" s="10" t="str">
        <f aca="false">IF(H131="","",H131*100)</f>
        <v/>
      </c>
      <c r="L131" s="10" t="n">
        <f aca="false">CEILING(F131*(1+Settings!$B$4),5)</f>
        <v>1090</v>
      </c>
    </row>
    <row r="132" customFormat="false" ht="15" hidden="false" customHeight="false" outlineLevel="0" collapsed="false">
      <c r="A132" s="15" t="s">
        <v>35</v>
      </c>
      <c r="B132" s="9" t="s">
        <v>102</v>
      </c>
      <c r="C132" s="9" t="s">
        <v>300</v>
      </c>
      <c r="D132" s="9" t="s">
        <v>69</v>
      </c>
      <c r="E132" s="21" t="s">
        <v>118</v>
      </c>
      <c r="F132" s="25" t="n">
        <f aca="false">'Data Plans'!G132</f>
        <v>1729.8</v>
      </c>
      <c r="G132" s="23"/>
      <c r="H132" s="10" t="str">
        <f aca="false">IF(G132="","",G132-F132)</f>
        <v/>
      </c>
      <c r="I132" s="12" t="str">
        <f aca="false">IF(OR(G132="",G132=0),"",H132/G132)</f>
        <v/>
      </c>
      <c r="J132" s="24" t="str">
        <f aca="false">IF(G132="","Set price",IF(G132&lt;F132,"LOSS",IF(G132=F132,"Break-even","OK")))</f>
        <v>Set price</v>
      </c>
      <c r="K132" s="10" t="str">
        <f aca="false">IF(H132="","",H132*100)</f>
        <v/>
      </c>
      <c r="L132" s="10" t="n">
        <f aca="false">CEILING(F132*(1+Settings!$B$4),5)</f>
        <v>1820</v>
      </c>
    </row>
    <row r="133" customFormat="false" ht="15" hidden="false" customHeight="false" outlineLevel="0" collapsed="false">
      <c r="A133" s="15" t="s">
        <v>35</v>
      </c>
      <c r="B133" s="9" t="s">
        <v>102</v>
      </c>
      <c r="C133" s="9" t="s">
        <v>301</v>
      </c>
      <c r="D133" s="9" t="s">
        <v>69</v>
      </c>
      <c r="E133" s="21" t="s">
        <v>112</v>
      </c>
      <c r="F133" s="25" t="n">
        <f aca="false">'Data Plans'!G133</f>
        <v>2162.25</v>
      </c>
      <c r="G133" s="23"/>
      <c r="H133" s="10" t="str">
        <f aca="false">IF(G133="","",G133-F133)</f>
        <v/>
      </c>
      <c r="I133" s="12" t="str">
        <f aca="false">IF(OR(G133="",G133=0),"",H133/G133)</f>
        <v/>
      </c>
      <c r="J133" s="24" t="str">
        <f aca="false">IF(G133="","Set price",IF(G133&lt;F133,"LOSS",IF(G133=F133,"Break-even","OK")))</f>
        <v>Set price</v>
      </c>
      <c r="K133" s="10" t="str">
        <f aca="false">IF(H133="","",H133*100)</f>
        <v/>
      </c>
      <c r="L133" s="10" t="n">
        <f aca="false">CEILING(F133*(1+Settings!$B$4),5)</f>
        <v>2275</v>
      </c>
    </row>
    <row r="134" customFormat="false" ht="15" hidden="false" customHeight="false" outlineLevel="0" collapsed="false">
      <c r="A134" s="15" t="s">
        <v>35</v>
      </c>
      <c r="B134" s="9" t="s">
        <v>102</v>
      </c>
      <c r="C134" s="9" t="s">
        <v>302</v>
      </c>
      <c r="D134" s="9" t="s">
        <v>69</v>
      </c>
      <c r="E134" s="21" t="s">
        <v>189</v>
      </c>
      <c r="F134" s="25" t="n">
        <f aca="false">'Data Plans'!G134</f>
        <v>2594.7</v>
      </c>
      <c r="G134" s="23"/>
      <c r="H134" s="10" t="str">
        <f aca="false">IF(G134="","",G134-F134)</f>
        <v/>
      </c>
      <c r="I134" s="12" t="str">
        <f aca="false">IF(OR(G134="",G134=0),"",H134/G134)</f>
        <v/>
      </c>
      <c r="J134" s="24" t="str">
        <f aca="false">IF(G134="","Set price",IF(G134&lt;F134,"LOSS",IF(G134=F134,"Break-even","OK")))</f>
        <v>Set price</v>
      </c>
      <c r="K134" s="10" t="str">
        <f aca="false">IF(H134="","",H134*100)</f>
        <v/>
      </c>
      <c r="L134" s="10" t="n">
        <f aca="false">CEILING(F134*(1+Settings!$B$4),5)</f>
        <v>2725</v>
      </c>
    </row>
    <row r="135" customFormat="false" ht="15" hidden="false" customHeight="false" outlineLevel="0" collapsed="false">
      <c r="A135" s="15" t="s">
        <v>35</v>
      </c>
      <c r="B135" s="9" t="s">
        <v>102</v>
      </c>
      <c r="C135" s="9" t="s">
        <v>303</v>
      </c>
      <c r="D135" s="9" t="s">
        <v>69</v>
      </c>
      <c r="E135" s="21" t="s">
        <v>191</v>
      </c>
      <c r="F135" s="25" t="n">
        <f aca="false">'Data Plans'!G135</f>
        <v>3459.6</v>
      </c>
      <c r="G135" s="23"/>
      <c r="H135" s="10" t="str">
        <f aca="false">IF(G135="","",G135-F135)</f>
        <v/>
      </c>
      <c r="I135" s="12" t="str">
        <f aca="false">IF(OR(G135="",G135=0),"",H135/G135)</f>
        <v/>
      </c>
      <c r="J135" s="24" t="str">
        <f aca="false">IF(G135="","Set price",IF(G135&lt;F135,"LOSS",IF(G135=F135,"Break-even","OK")))</f>
        <v>Set price</v>
      </c>
      <c r="K135" s="10" t="str">
        <f aca="false">IF(H135="","",H135*100)</f>
        <v/>
      </c>
      <c r="L135" s="10" t="n">
        <f aca="false">CEILING(F135*(1+Settings!$B$4),5)</f>
        <v>3635</v>
      </c>
    </row>
    <row r="136" customFormat="false" ht="15" hidden="false" customHeight="false" outlineLevel="0" collapsed="false">
      <c r="A136" s="15" t="s">
        <v>35</v>
      </c>
      <c r="B136" s="9" t="s">
        <v>102</v>
      </c>
      <c r="C136" s="9" t="s">
        <v>304</v>
      </c>
      <c r="D136" s="9" t="s">
        <v>69</v>
      </c>
      <c r="E136" s="21" t="s">
        <v>143</v>
      </c>
      <c r="F136" s="25" t="n">
        <f aca="false">'Data Plans'!G136</f>
        <v>4324.5</v>
      </c>
      <c r="G136" s="23"/>
      <c r="H136" s="10" t="str">
        <f aca="false">IF(G136="","",G136-F136)</f>
        <v/>
      </c>
      <c r="I136" s="12" t="str">
        <f aca="false">IF(OR(G136="",G136=0),"",H136/G136)</f>
        <v/>
      </c>
      <c r="J136" s="24" t="str">
        <f aca="false">IF(G136="","Set price",IF(G136&lt;F136,"LOSS",IF(G136=F136,"Break-even","OK")))</f>
        <v>Set price</v>
      </c>
      <c r="K136" s="10" t="str">
        <f aca="false">IF(H136="","",H136*100)</f>
        <v/>
      </c>
      <c r="L136" s="10" t="n">
        <f aca="false">CEILING(F136*(1+Settings!$B$4),5)</f>
        <v>4545</v>
      </c>
    </row>
    <row r="137" customFormat="false" ht="15" hidden="false" customHeight="false" outlineLevel="0" collapsed="false">
      <c r="A137" s="15" t="s">
        <v>35</v>
      </c>
      <c r="B137" s="9" t="s">
        <v>102</v>
      </c>
      <c r="C137" s="9" t="s">
        <v>192</v>
      </c>
      <c r="D137" s="9" t="s">
        <v>69</v>
      </c>
      <c r="E137" s="21" t="s">
        <v>305</v>
      </c>
      <c r="F137" s="25" t="n">
        <f aca="false">'Data Plans'!G137</f>
        <v>10378.8</v>
      </c>
      <c r="G137" s="23"/>
      <c r="H137" s="10" t="str">
        <f aca="false">IF(G137="","",G137-F137)</f>
        <v/>
      </c>
      <c r="I137" s="12" t="str">
        <f aca="false">IF(OR(G137="",G137=0),"",H137/G137)</f>
        <v/>
      </c>
      <c r="J137" s="24" t="str">
        <f aca="false">IF(G137="","Set price",IF(G137&lt;F137,"LOSS",IF(G137=F137,"Break-even","OK")))</f>
        <v>Set price</v>
      </c>
      <c r="K137" s="10" t="str">
        <f aca="false">IF(H137="","",H137*100)</f>
        <v/>
      </c>
      <c r="L137" s="10" t="n">
        <f aca="false">CEILING(F137*(1+Settings!$B$4),5)</f>
        <v>10900</v>
      </c>
    </row>
    <row r="138" customFormat="false" ht="15" hidden="false" customHeight="false" outlineLevel="0" collapsed="false">
      <c r="A138" s="15" t="s">
        <v>35</v>
      </c>
      <c r="B138" s="9" t="s">
        <v>102</v>
      </c>
      <c r="C138" s="9" t="s">
        <v>306</v>
      </c>
      <c r="D138" s="9" t="s">
        <v>69</v>
      </c>
      <c r="E138" s="21" t="s">
        <v>307</v>
      </c>
      <c r="F138" s="25" t="n">
        <f aca="false">'Data Plans'!G138</f>
        <v>16000.65</v>
      </c>
      <c r="G138" s="23"/>
      <c r="H138" s="10" t="str">
        <f aca="false">IF(G138="","",G138-F138)</f>
        <v/>
      </c>
      <c r="I138" s="12" t="str">
        <f aca="false">IF(OR(G138="",G138=0),"",H138/G138)</f>
        <v/>
      </c>
      <c r="J138" s="24" t="str">
        <f aca="false">IF(G138="","Set price",IF(G138&lt;F138,"LOSS",IF(G138=F138,"Break-even","OK")))</f>
        <v>Set price</v>
      </c>
      <c r="K138" s="10" t="str">
        <f aca="false">IF(H138="","",H138*100)</f>
        <v/>
      </c>
      <c r="L138" s="10" t="n">
        <f aca="false">CEILING(F138*(1+Settings!$B$4),5)</f>
        <v>16805</v>
      </c>
    </row>
    <row r="139" customFormat="false" ht="15" hidden="false" customHeight="false" outlineLevel="0" collapsed="false">
      <c r="A139" s="15" t="s">
        <v>35</v>
      </c>
      <c r="B139" s="9" t="s">
        <v>102</v>
      </c>
      <c r="C139" s="9" t="s">
        <v>308</v>
      </c>
      <c r="D139" s="9" t="s">
        <v>69</v>
      </c>
      <c r="E139" s="21" t="s">
        <v>200</v>
      </c>
      <c r="F139" s="25" t="n">
        <f aca="false">'Data Plans'!G139</f>
        <v>17298</v>
      </c>
      <c r="G139" s="23"/>
      <c r="H139" s="10" t="str">
        <f aca="false">IF(G139="","",G139-F139)</f>
        <v/>
      </c>
      <c r="I139" s="12" t="str">
        <f aca="false">IF(OR(G139="",G139=0),"",H139/G139)</f>
        <v/>
      </c>
      <c r="J139" s="24" t="str">
        <f aca="false">IF(G139="","Set price",IF(G139&lt;F139,"LOSS",IF(G139=F139,"Break-even","OK")))</f>
        <v>Set price</v>
      </c>
      <c r="K139" s="10" t="str">
        <f aca="false">IF(H139="","",H139*100)</f>
        <v/>
      </c>
      <c r="L139" s="10" t="n">
        <f aca="false">CEILING(F139*(1+Settings!$B$4),5)</f>
        <v>18165</v>
      </c>
    </row>
    <row r="140" customFormat="false" ht="15" hidden="false" customHeight="false" outlineLevel="0" collapsed="false">
      <c r="A140" s="15" t="s">
        <v>35</v>
      </c>
      <c r="B140" s="9" t="s">
        <v>102</v>
      </c>
      <c r="C140" s="9" t="s">
        <v>309</v>
      </c>
      <c r="D140" s="9" t="s">
        <v>140</v>
      </c>
      <c r="E140" s="21" t="s">
        <v>209</v>
      </c>
      <c r="F140" s="25" t="n">
        <f aca="false">'Data Plans'!G140</f>
        <v>25947</v>
      </c>
      <c r="G140" s="23"/>
      <c r="H140" s="10" t="str">
        <f aca="false">IF(G140="","",G140-F140)</f>
        <v/>
      </c>
      <c r="I140" s="12" t="str">
        <f aca="false">IF(OR(G140="",G140=0),"",H140/G140)</f>
        <v/>
      </c>
      <c r="J140" s="24" t="str">
        <f aca="false">IF(G140="","Set price",IF(G140&lt;F140,"LOSS",IF(G140=F140,"Break-even","OK")))</f>
        <v>Set price</v>
      </c>
      <c r="K140" s="10" t="str">
        <f aca="false">IF(H140="","",H140*100)</f>
        <v/>
      </c>
      <c r="L140" s="10" t="n">
        <f aca="false">CEILING(F140*(1+Settings!$B$4),5)</f>
        <v>27245</v>
      </c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customFormat="false" ht="15" hidden="false" customHeight="false" outlineLevel="0" collapsed="false">
      <c r="A142" s="3" t="s">
        <v>317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</sheetData>
  <autoFilter ref="A4:L140"/>
  <conditionalFormatting sqref="J5:J140">
    <cfRule type="cellIs" priority="2" operator="equal" aboveAverage="0" equalAverage="0" bottom="0" percent="0" rank="0" text="" dxfId="13">
      <formula>"LOSS"</formula>
    </cfRule>
    <cfRule type="cellIs" priority="3" operator="equal" aboveAverage="0" equalAverage="0" bottom="0" percent="0" rank="0" text="" dxfId="14">
      <formula>"OK"</formula>
    </cfRule>
    <cfRule type="cellIs" priority="4" operator="equal" aboveAverage="0" equalAverage="0" bottom="0" percent="0" rank="0" text="" dxfId="15">
      <formula>"Set price"</formula>
    </cfRule>
  </conditionalFormatting>
  <dataValidations count="1">
    <dataValidation allowBlank="true" error="Enter a naira amount (0 or more)." errorStyle="stop" errorTitle="Sale price" operator="greaterThanOrEqual" showDropDown="false" showErrorMessage="false" showInputMessage="false" sqref="G5:G14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3"/>
  </cols>
  <sheetData>
    <row r="1" customFormat="false" ht="18.55" hidden="false" customHeight="false" outlineLevel="0" collapsed="false">
      <c r="A1" s="1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319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42" hidden="false" customHeight="true" outlineLevel="0" collapsed="false">
      <c r="A4" s="7" t="s">
        <v>24</v>
      </c>
      <c r="B4" s="7" t="s">
        <v>320</v>
      </c>
      <c r="C4" s="7" t="s">
        <v>321</v>
      </c>
      <c r="D4" s="7" t="s">
        <v>313</v>
      </c>
      <c r="E4" s="7" t="s">
        <v>57</v>
      </c>
      <c r="F4" s="20" t="s">
        <v>314</v>
      </c>
      <c r="G4" s="7" t="s">
        <v>315</v>
      </c>
      <c r="H4" s="7" t="s">
        <v>60</v>
      </c>
      <c r="I4" s="7" t="s">
        <v>61</v>
      </c>
      <c r="J4" s="7" t="s">
        <v>316</v>
      </c>
      <c r="K4" s="7" t="s">
        <v>62</v>
      </c>
    </row>
    <row r="5" customFormat="false" ht="15" hidden="false" customHeight="false" outlineLevel="0" collapsed="false">
      <c r="A5" s="8" t="s">
        <v>32</v>
      </c>
      <c r="B5" s="19" t="n">
        <v>100</v>
      </c>
      <c r="C5" s="26" t="n">
        <f aca="false">Settings!$C$9</f>
        <v>0.01</v>
      </c>
      <c r="D5" s="10" t="n">
        <f aca="false">B5*(1-C5)</f>
        <v>99</v>
      </c>
      <c r="E5" s="10" t="n">
        <f aca="false">CEILING(D5*(1+Settings!$B$5),1)</f>
        <v>100</v>
      </c>
      <c r="F5" s="23"/>
      <c r="G5" s="10" t="str">
        <f aca="false">IF(F5="","",F5-D5)</f>
        <v/>
      </c>
      <c r="H5" s="12" t="str">
        <f aca="false">IF(OR(F5="",F5=0),"",G5/F5)</f>
        <v/>
      </c>
      <c r="I5" s="24" t="str">
        <f aca="false">IF(F5="","Set price",IF(F5&lt;D5,"LOSS",IF(F5=D5,"Break-even","OK")))</f>
        <v>Set price</v>
      </c>
      <c r="J5" s="10" t="str">
        <f aca="false">IF(G5="","",G5*100)</f>
        <v/>
      </c>
      <c r="K5" s="10" t="n">
        <f aca="false">MIN(B5,CEILING(D5*(1+Settings!$B$4),1))</f>
        <v>100</v>
      </c>
    </row>
    <row r="6" customFormat="false" ht="15" hidden="false" customHeight="false" outlineLevel="0" collapsed="false">
      <c r="A6" s="8" t="s">
        <v>32</v>
      </c>
      <c r="B6" s="19" t="n">
        <v>200</v>
      </c>
      <c r="C6" s="26" t="n">
        <f aca="false">Settings!$C$9</f>
        <v>0.01</v>
      </c>
      <c r="D6" s="10" t="n">
        <f aca="false">B6*(1-C6)</f>
        <v>198</v>
      </c>
      <c r="E6" s="10" t="n">
        <f aca="false">CEILING(D6*(1+Settings!$B$5),1)</f>
        <v>200</v>
      </c>
      <c r="F6" s="23"/>
      <c r="G6" s="10" t="str">
        <f aca="false">IF(F6="","",F6-D6)</f>
        <v/>
      </c>
      <c r="H6" s="12" t="str">
        <f aca="false">IF(OR(F6="",F6=0),"",G6/F6)</f>
        <v/>
      </c>
      <c r="I6" s="24" t="str">
        <f aca="false">IF(F6="","Set price",IF(F6&lt;D6,"LOSS",IF(F6=D6,"Break-even","OK")))</f>
        <v>Set price</v>
      </c>
      <c r="J6" s="10" t="str">
        <f aca="false">IF(G6="","",G6*100)</f>
        <v/>
      </c>
      <c r="K6" s="10" t="n">
        <f aca="false">MIN(B6,CEILING(D6*(1+Settings!$B$4),1))</f>
        <v>200</v>
      </c>
    </row>
    <row r="7" customFormat="false" ht="15" hidden="false" customHeight="false" outlineLevel="0" collapsed="false">
      <c r="A7" s="8" t="s">
        <v>32</v>
      </c>
      <c r="B7" s="19" t="n">
        <v>300</v>
      </c>
      <c r="C7" s="26" t="n">
        <f aca="false">Settings!$C$9</f>
        <v>0.01</v>
      </c>
      <c r="D7" s="10" t="n">
        <f aca="false">B7*(1-C7)</f>
        <v>297</v>
      </c>
      <c r="E7" s="10" t="n">
        <f aca="false">CEILING(D7*(1+Settings!$B$5),1)</f>
        <v>300</v>
      </c>
      <c r="F7" s="23"/>
      <c r="G7" s="10" t="str">
        <f aca="false">IF(F7="","",F7-D7)</f>
        <v/>
      </c>
      <c r="H7" s="12" t="str">
        <f aca="false">IF(OR(F7="",F7=0),"",G7/F7)</f>
        <v/>
      </c>
      <c r="I7" s="24" t="str">
        <f aca="false">IF(F7="","Set price",IF(F7&lt;D7,"LOSS",IF(F7=D7,"Break-even","OK")))</f>
        <v>Set price</v>
      </c>
      <c r="J7" s="10" t="str">
        <f aca="false">IF(G7="","",G7*100)</f>
        <v/>
      </c>
      <c r="K7" s="10" t="n">
        <f aca="false">MIN(B7,CEILING(D7*(1+Settings!$B$4),1))</f>
        <v>300</v>
      </c>
    </row>
    <row r="8" customFormat="false" ht="15" hidden="false" customHeight="false" outlineLevel="0" collapsed="false">
      <c r="A8" s="8" t="s">
        <v>32</v>
      </c>
      <c r="B8" s="19" t="n">
        <v>500</v>
      </c>
      <c r="C8" s="26" t="n">
        <f aca="false">Settings!$C$9</f>
        <v>0.01</v>
      </c>
      <c r="D8" s="10" t="n">
        <f aca="false">B8*(1-C8)</f>
        <v>495</v>
      </c>
      <c r="E8" s="10" t="n">
        <f aca="false">CEILING(D8*(1+Settings!$B$5),1)</f>
        <v>500</v>
      </c>
      <c r="F8" s="23"/>
      <c r="G8" s="10" t="str">
        <f aca="false">IF(F8="","",F8-D8)</f>
        <v/>
      </c>
      <c r="H8" s="12" t="str">
        <f aca="false">IF(OR(F8="",F8=0),"",G8/F8)</f>
        <v/>
      </c>
      <c r="I8" s="24" t="str">
        <f aca="false">IF(F8="","Set price",IF(F8&lt;D8,"LOSS",IF(F8=D8,"Break-even","OK")))</f>
        <v>Set price</v>
      </c>
      <c r="J8" s="10" t="str">
        <f aca="false">IF(G8="","",G8*100)</f>
        <v/>
      </c>
      <c r="K8" s="10" t="n">
        <f aca="false">MIN(B8,CEILING(D8*(1+Settings!$B$4),1))</f>
        <v>500</v>
      </c>
    </row>
    <row r="9" customFormat="false" ht="15" hidden="false" customHeight="false" outlineLevel="0" collapsed="false">
      <c r="A9" s="8" t="s">
        <v>32</v>
      </c>
      <c r="B9" s="19" t="n">
        <v>1000</v>
      </c>
      <c r="C9" s="26" t="n">
        <f aca="false">Settings!$C$9</f>
        <v>0.01</v>
      </c>
      <c r="D9" s="10" t="n">
        <f aca="false">B9*(1-C9)</f>
        <v>990</v>
      </c>
      <c r="E9" s="10" t="n">
        <f aca="false">CEILING(D9*(1+Settings!$B$5),1)</f>
        <v>1000</v>
      </c>
      <c r="F9" s="23"/>
      <c r="G9" s="10" t="str">
        <f aca="false">IF(F9="","",F9-D9)</f>
        <v/>
      </c>
      <c r="H9" s="12" t="str">
        <f aca="false">IF(OR(F9="",F9=0),"",G9/F9)</f>
        <v/>
      </c>
      <c r="I9" s="24" t="str">
        <f aca="false">IF(F9="","Set price",IF(F9&lt;D9,"LOSS",IF(F9=D9,"Break-even","OK")))</f>
        <v>Set price</v>
      </c>
      <c r="J9" s="10" t="str">
        <f aca="false">IF(G9="","",G9*100)</f>
        <v/>
      </c>
      <c r="K9" s="10" t="n">
        <f aca="false">MIN(B9,CEILING(D9*(1+Settings!$B$4),1))</f>
        <v>1000</v>
      </c>
    </row>
    <row r="10" customFormat="false" ht="15" hidden="false" customHeight="false" outlineLevel="0" collapsed="false">
      <c r="A10" s="13" t="s">
        <v>33</v>
      </c>
      <c r="B10" s="19" t="n">
        <v>100</v>
      </c>
      <c r="C10" s="26" t="n">
        <f aca="false">Settings!$C$10</f>
        <v>0.02</v>
      </c>
      <c r="D10" s="10" t="n">
        <f aca="false">B10*(1-C10)</f>
        <v>98</v>
      </c>
      <c r="E10" s="10" t="n">
        <f aca="false">CEILING(D10*(1+Settings!$B$5),1)</f>
        <v>99</v>
      </c>
      <c r="F10" s="23"/>
      <c r="G10" s="10" t="str">
        <f aca="false">IF(F10="","",F10-D10)</f>
        <v/>
      </c>
      <c r="H10" s="12" t="str">
        <f aca="false">IF(OR(F10="",F10=0),"",G10/F10)</f>
        <v/>
      </c>
      <c r="I10" s="24" t="str">
        <f aca="false">IF(F10="","Set price",IF(F10&lt;D10,"LOSS",IF(F10=D10,"Break-even","OK")))</f>
        <v>Set price</v>
      </c>
      <c r="J10" s="10" t="str">
        <f aca="false">IF(G10="","",G10*100)</f>
        <v/>
      </c>
      <c r="K10" s="10" t="n">
        <f aca="false">MIN(B10,CEILING(D10*(1+Settings!$B$4),1))</f>
        <v>100</v>
      </c>
    </row>
    <row r="11" customFormat="false" ht="15" hidden="false" customHeight="false" outlineLevel="0" collapsed="false">
      <c r="A11" s="13" t="s">
        <v>33</v>
      </c>
      <c r="B11" s="19" t="n">
        <v>200</v>
      </c>
      <c r="C11" s="26" t="n">
        <f aca="false">Settings!$C$10</f>
        <v>0.02</v>
      </c>
      <c r="D11" s="10" t="n">
        <f aca="false">B11*(1-C11)</f>
        <v>196</v>
      </c>
      <c r="E11" s="10" t="n">
        <f aca="false">CEILING(D11*(1+Settings!$B$5),1)</f>
        <v>198</v>
      </c>
      <c r="F11" s="23"/>
      <c r="G11" s="10" t="str">
        <f aca="false">IF(F11="","",F11-D11)</f>
        <v/>
      </c>
      <c r="H11" s="12" t="str">
        <f aca="false">IF(OR(F11="",F11=0),"",G11/F11)</f>
        <v/>
      </c>
      <c r="I11" s="24" t="str">
        <f aca="false">IF(F11="","Set price",IF(F11&lt;D11,"LOSS",IF(F11=D11,"Break-even","OK")))</f>
        <v>Set price</v>
      </c>
      <c r="J11" s="10" t="str">
        <f aca="false">IF(G11="","",G11*100)</f>
        <v/>
      </c>
      <c r="K11" s="10" t="n">
        <f aca="false">MIN(B11,CEILING(D11*(1+Settings!$B$4),1))</f>
        <v>200</v>
      </c>
    </row>
    <row r="12" customFormat="false" ht="15" hidden="false" customHeight="false" outlineLevel="0" collapsed="false">
      <c r="A12" s="13" t="s">
        <v>33</v>
      </c>
      <c r="B12" s="19" t="n">
        <v>300</v>
      </c>
      <c r="C12" s="26" t="n">
        <f aca="false">Settings!$C$10</f>
        <v>0.02</v>
      </c>
      <c r="D12" s="10" t="n">
        <f aca="false">B12*(1-C12)</f>
        <v>294</v>
      </c>
      <c r="E12" s="10" t="n">
        <f aca="false">CEILING(D12*(1+Settings!$B$5),1)</f>
        <v>297</v>
      </c>
      <c r="F12" s="23"/>
      <c r="G12" s="10" t="str">
        <f aca="false">IF(F12="","",F12-D12)</f>
        <v/>
      </c>
      <c r="H12" s="12" t="str">
        <f aca="false">IF(OR(F12="",F12=0),"",G12/F12)</f>
        <v/>
      </c>
      <c r="I12" s="24" t="str">
        <f aca="false">IF(F12="","Set price",IF(F12&lt;D12,"LOSS",IF(F12=D12,"Break-even","OK")))</f>
        <v>Set price</v>
      </c>
      <c r="J12" s="10" t="str">
        <f aca="false">IF(G12="","",G12*100)</f>
        <v/>
      </c>
      <c r="K12" s="10" t="n">
        <f aca="false">MIN(B12,CEILING(D12*(1+Settings!$B$4),1))</f>
        <v>300</v>
      </c>
    </row>
    <row r="13" customFormat="false" ht="15" hidden="false" customHeight="false" outlineLevel="0" collapsed="false">
      <c r="A13" s="13" t="s">
        <v>33</v>
      </c>
      <c r="B13" s="19" t="n">
        <v>500</v>
      </c>
      <c r="C13" s="26" t="n">
        <f aca="false">Settings!$C$10</f>
        <v>0.02</v>
      </c>
      <c r="D13" s="10" t="n">
        <f aca="false">B13*(1-C13)</f>
        <v>490</v>
      </c>
      <c r="E13" s="10" t="n">
        <f aca="false">CEILING(D13*(1+Settings!$B$5),1)</f>
        <v>495</v>
      </c>
      <c r="F13" s="23"/>
      <c r="G13" s="10" t="str">
        <f aca="false">IF(F13="","",F13-D13)</f>
        <v/>
      </c>
      <c r="H13" s="12" t="str">
        <f aca="false">IF(OR(F13="",F13=0),"",G13/F13)</f>
        <v/>
      </c>
      <c r="I13" s="24" t="str">
        <f aca="false">IF(F13="","Set price",IF(F13&lt;D13,"LOSS",IF(F13=D13,"Break-even","OK")))</f>
        <v>Set price</v>
      </c>
      <c r="J13" s="10" t="str">
        <f aca="false">IF(G13="","",G13*100)</f>
        <v/>
      </c>
      <c r="K13" s="10" t="n">
        <f aca="false">MIN(B13,CEILING(D13*(1+Settings!$B$4),1))</f>
        <v>500</v>
      </c>
    </row>
    <row r="14" customFormat="false" ht="15" hidden="false" customHeight="false" outlineLevel="0" collapsed="false">
      <c r="A14" s="13" t="s">
        <v>33</v>
      </c>
      <c r="B14" s="19" t="n">
        <v>1000</v>
      </c>
      <c r="C14" s="26" t="n">
        <f aca="false">Settings!$C$10</f>
        <v>0.02</v>
      </c>
      <c r="D14" s="10" t="n">
        <f aca="false">B14*(1-C14)</f>
        <v>980</v>
      </c>
      <c r="E14" s="10" t="n">
        <f aca="false">CEILING(D14*(1+Settings!$B$5),1)</f>
        <v>990</v>
      </c>
      <c r="F14" s="23"/>
      <c r="G14" s="10" t="str">
        <f aca="false">IF(F14="","",F14-D14)</f>
        <v/>
      </c>
      <c r="H14" s="12" t="str">
        <f aca="false">IF(OR(F14="",F14=0),"",G14/F14)</f>
        <v/>
      </c>
      <c r="I14" s="24" t="str">
        <f aca="false">IF(F14="","Set price",IF(F14&lt;D14,"LOSS",IF(F14=D14,"Break-even","OK")))</f>
        <v>Set price</v>
      </c>
      <c r="J14" s="10" t="str">
        <f aca="false">IF(G14="","",G14*100)</f>
        <v/>
      </c>
      <c r="K14" s="10" t="n">
        <f aca="false">MIN(B14,CEILING(D14*(1+Settings!$B$4),1))</f>
        <v>1000</v>
      </c>
    </row>
    <row r="15" customFormat="false" ht="15" hidden="false" customHeight="false" outlineLevel="0" collapsed="false">
      <c r="A15" s="14" t="s">
        <v>34</v>
      </c>
      <c r="B15" s="19" t="n">
        <v>100</v>
      </c>
      <c r="C15" s="26" t="n">
        <f aca="false">Settings!$C$11</f>
        <v>0.02</v>
      </c>
      <c r="D15" s="10" t="n">
        <f aca="false">B15*(1-C15)</f>
        <v>98</v>
      </c>
      <c r="E15" s="10" t="n">
        <f aca="false">CEILING(D15*(1+Settings!$B$5),1)</f>
        <v>99</v>
      </c>
      <c r="F15" s="23"/>
      <c r="G15" s="10" t="str">
        <f aca="false">IF(F15="","",F15-D15)</f>
        <v/>
      </c>
      <c r="H15" s="12" t="str">
        <f aca="false">IF(OR(F15="",F15=0),"",G15/F15)</f>
        <v/>
      </c>
      <c r="I15" s="24" t="str">
        <f aca="false">IF(F15="","Set price",IF(F15&lt;D15,"LOSS",IF(F15=D15,"Break-even","OK")))</f>
        <v>Set price</v>
      </c>
      <c r="J15" s="10" t="str">
        <f aca="false">IF(G15="","",G15*100)</f>
        <v/>
      </c>
      <c r="K15" s="10" t="n">
        <f aca="false">MIN(B15,CEILING(D15*(1+Settings!$B$4),1))</f>
        <v>100</v>
      </c>
    </row>
    <row r="16" customFormat="false" ht="15" hidden="false" customHeight="false" outlineLevel="0" collapsed="false">
      <c r="A16" s="14" t="s">
        <v>34</v>
      </c>
      <c r="B16" s="19" t="n">
        <v>200</v>
      </c>
      <c r="C16" s="26" t="n">
        <f aca="false">Settings!$C$11</f>
        <v>0.02</v>
      </c>
      <c r="D16" s="10" t="n">
        <f aca="false">B16*(1-C16)</f>
        <v>196</v>
      </c>
      <c r="E16" s="10" t="n">
        <f aca="false">CEILING(D16*(1+Settings!$B$5),1)</f>
        <v>198</v>
      </c>
      <c r="F16" s="23"/>
      <c r="G16" s="10" t="str">
        <f aca="false">IF(F16="","",F16-D16)</f>
        <v/>
      </c>
      <c r="H16" s="12" t="str">
        <f aca="false">IF(OR(F16="",F16=0),"",G16/F16)</f>
        <v/>
      </c>
      <c r="I16" s="24" t="str">
        <f aca="false">IF(F16="","Set price",IF(F16&lt;D16,"LOSS",IF(F16=D16,"Break-even","OK")))</f>
        <v>Set price</v>
      </c>
      <c r="J16" s="10" t="str">
        <f aca="false">IF(G16="","",G16*100)</f>
        <v/>
      </c>
      <c r="K16" s="10" t="n">
        <f aca="false">MIN(B16,CEILING(D16*(1+Settings!$B$4),1))</f>
        <v>200</v>
      </c>
    </row>
    <row r="17" customFormat="false" ht="15" hidden="false" customHeight="false" outlineLevel="0" collapsed="false">
      <c r="A17" s="14" t="s">
        <v>34</v>
      </c>
      <c r="B17" s="19" t="n">
        <v>300</v>
      </c>
      <c r="C17" s="26" t="n">
        <f aca="false">Settings!$C$11</f>
        <v>0.02</v>
      </c>
      <c r="D17" s="10" t="n">
        <f aca="false">B17*(1-C17)</f>
        <v>294</v>
      </c>
      <c r="E17" s="10" t="n">
        <f aca="false">CEILING(D17*(1+Settings!$B$5),1)</f>
        <v>297</v>
      </c>
      <c r="F17" s="23"/>
      <c r="G17" s="10" t="str">
        <f aca="false">IF(F17="","",F17-D17)</f>
        <v/>
      </c>
      <c r="H17" s="12" t="str">
        <f aca="false">IF(OR(F17="",F17=0),"",G17/F17)</f>
        <v/>
      </c>
      <c r="I17" s="24" t="str">
        <f aca="false">IF(F17="","Set price",IF(F17&lt;D17,"LOSS",IF(F17=D17,"Break-even","OK")))</f>
        <v>Set price</v>
      </c>
      <c r="J17" s="10" t="str">
        <f aca="false">IF(G17="","",G17*100)</f>
        <v/>
      </c>
      <c r="K17" s="10" t="n">
        <f aca="false">MIN(B17,CEILING(D17*(1+Settings!$B$4),1))</f>
        <v>300</v>
      </c>
    </row>
    <row r="18" customFormat="false" ht="15" hidden="false" customHeight="false" outlineLevel="0" collapsed="false">
      <c r="A18" s="14" t="s">
        <v>34</v>
      </c>
      <c r="B18" s="19" t="n">
        <v>500</v>
      </c>
      <c r="C18" s="26" t="n">
        <f aca="false">Settings!$C$11</f>
        <v>0.02</v>
      </c>
      <c r="D18" s="10" t="n">
        <f aca="false">B18*(1-C18)</f>
        <v>490</v>
      </c>
      <c r="E18" s="10" t="n">
        <f aca="false">CEILING(D18*(1+Settings!$B$5),1)</f>
        <v>495</v>
      </c>
      <c r="F18" s="23"/>
      <c r="G18" s="10" t="str">
        <f aca="false">IF(F18="","",F18-D18)</f>
        <v/>
      </c>
      <c r="H18" s="12" t="str">
        <f aca="false">IF(OR(F18="",F18=0),"",G18/F18)</f>
        <v/>
      </c>
      <c r="I18" s="24" t="str">
        <f aca="false">IF(F18="","Set price",IF(F18&lt;D18,"LOSS",IF(F18=D18,"Break-even","OK")))</f>
        <v>Set price</v>
      </c>
      <c r="J18" s="10" t="str">
        <f aca="false">IF(G18="","",G18*100)</f>
        <v/>
      </c>
      <c r="K18" s="10" t="n">
        <f aca="false">MIN(B18,CEILING(D18*(1+Settings!$B$4),1))</f>
        <v>500</v>
      </c>
    </row>
    <row r="19" customFormat="false" ht="15" hidden="false" customHeight="false" outlineLevel="0" collapsed="false">
      <c r="A19" s="14" t="s">
        <v>34</v>
      </c>
      <c r="B19" s="19" t="n">
        <v>1000</v>
      </c>
      <c r="C19" s="26" t="n">
        <f aca="false">Settings!$C$11</f>
        <v>0.02</v>
      </c>
      <c r="D19" s="10" t="n">
        <f aca="false">B19*(1-C19)</f>
        <v>980</v>
      </c>
      <c r="E19" s="10" t="n">
        <f aca="false">CEILING(D19*(1+Settings!$B$5),1)</f>
        <v>990</v>
      </c>
      <c r="F19" s="23"/>
      <c r="G19" s="10" t="str">
        <f aca="false">IF(F19="","",F19-D19)</f>
        <v/>
      </c>
      <c r="H19" s="12" t="str">
        <f aca="false">IF(OR(F19="",F19=0),"",G19/F19)</f>
        <v/>
      </c>
      <c r="I19" s="24" t="str">
        <f aca="false">IF(F19="","Set price",IF(F19&lt;D19,"LOSS",IF(F19=D19,"Break-even","OK")))</f>
        <v>Set price</v>
      </c>
      <c r="J19" s="10" t="str">
        <f aca="false">IF(G19="","",G19*100)</f>
        <v/>
      </c>
      <c r="K19" s="10" t="n">
        <f aca="false">MIN(B19,CEILING(D19*(1+Settings!$B$4),1))</f>
        <v>1000</v>
      </c>
    </row>
    <row r="20" customFormat="false" ht="15" hidden="false" customHeight="false" outlineLevel="0" collapsed="false">
      <c r="A20" s="15" t="s">
        <v>35</v>
      </c>
      <c r="B20" s="19" t="n">
        <v>100</v>
      </c>
      <c r="C20" s="26" t="n">
        <f aca="false">Settings!$C$12</f>
        <v>0.05</v>
      </c>
      <c r="D20" s="10" t="n">
        <f aca="false">B20*(1-C20)</f>
        <v>95</v>
      </c>
      <c r="E20" s="10" t="n">
        <f aca="false">CEILING(D20*(1+Settings!$B$5),1)</f>
        <v>96</v>
      </c>
      <c r="F20" s="23"/>
      <c r="G20" s="10" t="str">
        <f aca="false">IF(F20="","",F20-D20)</f>
        <v/>
      </c>
      <c r="H20" s="12" t="str">
        <f aca="false">IF(OR(F20="",F20=0),"",G20/F20)</f>
        <v/>
      </c>
      <c r="I20" s="24" t="str">
        <f aca="false">IF(F20="","Set price",IF(F20&lt;D20,"LOSS",IF(F20=D20,"Break-even","OK")))</f>
        <v>Set price</v>
      </c>
      <c r="J20" s="10" t="str">
        <f aca="false">IF(G20="","",G20*100)</f>
        <v/>
      </c>
      <c r="K20" s="10" t="n">
        <f aca="false">MIN(B20,CEILING(D20*(1+Settings!$B$4),1))</f>
        <v>100</v>
      </c>
    </row>
    <row r="21" customFormat="false" ht="15" hidden="false" customHeight="false" outlineLevel="0" collapsed="false">
      <c r="A21" s="15" t="s">
        <v>35</v>
      </c>
      <c r="B21" s="19" t="n">
        <v>200</v>
      </c>
      <c r="C21" s="26" t="n">
        <f aca="false">Settings!$C$12</f>
        <v>0.05</v>
      </c>
      <c r="D21" s="10" t="n">
        <f aca="false">B21*(1-C21)</f>
        <v>190</v>
      </c>
      <c r="E21" s="10" t="n">
        <f aca="false">CEILING(D21*(1+Settings!$B$5),1)</f>
        <v>192</v>
      </c>
      <c r="F21" s="23"/>
      <c r="G21" s="10" t="str">
        <f aca="false">IF(F21="","",F21-D21)</f>
        <v/>
      </c>
      <c r="H21" s="12" t="str">
        <f aca="false">IF(OR(F21="",F21=0),"",G21/F21)</f>
        <v/>
      </c>
      <c r="I21" s="24" t="str">
        <f aca="false">IF(F21="","Set price",IF(F21&lt;D21,"LOSS",IF(F21=D21,"Break-even","OK")))</f>
        <v>Set price</v>
      </c>
      <c r="J21" s="10" t="str">
        <f aca="false">IF(G21="","",G21*100)</f>
        <v/>
      </c>
      <c r="K21" s="10" t="n">
        <f aca="false">MIN(B21,CEILING(D21*(1+Settings!$B$4),1))</f>
        <v>200</v>
      </c>
    </row>
    <row r="22" customFormat="false" ht="15" hidden="false" customHeight="false" outlineLevel="0" collapsed="false">
      <c r="A22" s="15" t="s">
        <v>35</v>
      </c>
      <c r="B22" s="19" t="n">
        <v>300</v>
      </c>
      <c r="C22" s="26" t="n">
        <f aca="false">Settings!$C$12</f>
        <v>0.05</v>
      </c>
      <c r="D22" s="10" t="n">
        <f aca="false">B22*(1-C22)</f>
        <v>285</v>
      </c>
      <c r="E22" s="10" t="n">
        <f aca="false">CEILING(D22*(1+Settings!$B$5),1)</f>
        <v>288</v>
      </c>
      <c r="F22" s="23"/>
      <c r="G22" s="10" t="str">
        <f aca="false">IF(F22="","",F22-D22)</f>
        <v/>
      </c>
      <c r="H22" s="12" t="str">
        <f aca="false">IF(OR(F22="",F22=0),"",G22/F22)</f>
        <v/>
      </c>
      <c r="I22" s="24" t="str">
        <f aca="false">IF(F22="","Set price",IF(F22&lt;D22,"LOSS",IF(F22=D22,"Break-even","OK")))</f>
        <v>Set price</v>
      </c>
      <c r="J22" s="10" t="str">
        <f aca="false">IF(G22="","",G22*100)</f>
        <v/>
      </c>
      <c r="K22" s="10" t="n">
        <f aca="false">MIN(B22,CEILING(D22*(1+Settings!$B$4),1))</f>
        <v>300</v>
      </c>
    </row>
    <row r="23" customFormat="false" ht="15" hidden="false" customHeight="false" outlineLevel="0" collapsed="false">
      <c r="A23" s="15" t="s">
        <v>35</v>
      </c>
      <c r="B23" s="19" t="n">
        <v>500</v>
      </c>
      <c r="C23" s="26" t="n">
        <f aca="false">Settings!$C$12</f>
        <v>0.05</v>
      </c>
      <c r="D23" s="10" t="n">
        <f aca="false">B23*(1-C23)</f>
        <v>475</v>
      </c>
      <c r="E23" s="10" t="n">
        <f aca="false">CEILING(D23*(1+Settings!$B$5),1)</f>
        <v>480</v>
      </c>
      <c r="F23" s="23"/>
      <c r="G23" s="10" t="str">
        <f aca="false">IF(F23="","",F23-D23)</f>
        <v/>
      </c>
      <c r="H23" s="12" t="str">
        <f aca="false">IF(OR(F23="",F23=0),"",G23/F23)</f>
        <v/>
      </c>
      <c r="I23" s="24" t="str">
        <f aca="false">IF(F23="","Set price",IF(F23&lt;D23,"LOSS",IF(F23=D23,"Break-even","OK")))</f>
        <v>Set price</v>
      </c>
      <c r="J23" s="10" t="str">
        <f aca="false">IF(G23="","",G23*100)</f>
        <v/>
      </c>
      <c r="K23" s="10" t="n">
        <f aca="false">MIN(B23,CEILING(D23*(1+Settings!$B$4),1))</f>
        <v>499</v>
      </c>
    </row>
    <row r="24" customFormat="false" ht="15" hidden="false" customHeight="false" outlineLevel="0" collapsed="false">
      <c r="A24" s="15" t="s">
        <v>35</v>
      </c>
      <c r="B24" s="19" t="n">
        <v>1000</v>
      </c>
      <c r="C24" s="26" t="n">
        <f aca="false">Settings!$C$12</f>
        <v>0.05</v>
      </c>
      <c r="D24" s="10" t="n">
        <f aca="false">B24*(1-C24)</f>
        <v>950</v>
      </c>
      <c r="E24" s="10" t="n">
        <f aca="false">CEILING(D24*(1+Settings!$B$5),1)</f>
        <v>960</v>
      </c>
      <c r="F24" s="23"/>
      <c r="G24" s="10" t="str">
        <f aca="false">IF(F24="","",F24-D24)</f>
        <v/>
      </c>
      <c r="H24" s="12" t="str">
        <f aca="false">IF(OR(F24="",F24=0),"",G24/F24)</f>
        <v/>
      </c>
      <c r="I24" s="24" t="str">
        <f aca="false">IF(F24="","Set price",IF(F24&lt;D24,"LOSS",IF(F24=D24,"Break-even","OK")))</f>
        <v>Set price</v>
      </c>
      <c r="J24" s="10" t="str">
        <f aca="false">IF(G24="","",G24*100)</f>
        <v/>
      </c>
      <c r="K24" s="10" t="n">
        <f aca="false">MIN(B24,CEILING(D24*(1+Settings!$B$4),1))</f>
        <v>998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3" t="s">
        <v>322</v>
      </c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autoFilter ref="A4:K24"/>
  <conditionalFormatting sqref="I5:I24">
    <cfRule type="cellIs" priority="2" operator="equal" aboveAverage="0" equalAverage="0" bottom="0" percent="0" rank="0" text="" dxfId="13">
      <formula>"LOSS"</formula>
    </cfRule>
    <cfRule type="cellIs" priority="3" operator="equal" aboveAverage="0" equalAverage="0" bottom="0" percent="0" rank="0" text="" dxfId="14">
      <formula>"OK"</formula>
    </cfRule>
    <cfRule type="cellIs" priority="4" operator="equal" aboveAverage="0" equalAverage="0" bottom="0" percent="0" rank="0" text="" dxfId="15">
      <formula>"Set price"</formula>
    </cfRule>
  </conditionalFormatting>
  <dataValidations count="1">
    <dataValidation allowBlank="true" error="Enter a naira amount (0 or more)." errorStyle="stop" errorTitle="Sale price" operator="greaterThanOrEqual" showDropDown="false" showErrorMessage="false" showInputMessage="false" sqref="F5:F2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2026-09-25T21:54:13Z</dcterms:created>
  <dc:creator>openpyxl</dc:creator>
  <dc:description/>
  <dc:language>en-US</dc:language>
  <cp:lastModifiedBy/>
  <dcterms:modified xsi:type="dcterms:W3CDTF">2026-09-25T21:54:14Z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